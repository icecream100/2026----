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160"/>
  </bookViews>
  <sheets>
    <sheet name="Sheet1" sheetId="1" r:id="rId1"/>
  </sheets>
  <externalReferences>
    <externalReference r:id="rId2"/>
  </externalReferences>
  <definedNames>
    <definedName name="_xlnm._FilterDatabase" localSheetId="0" hidden="1">Sheet1!$A$1:$K$146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<sst xmlns="http://schemas.openxmlformats.org/spreadsheetml/2006/main" count="527" uniqueCount="337">
  <si>
    <t>序号</t>
  </si>
  <si>
    <t>应用系统</t>
  </si>
  <si>
    <t>一级模块</t>
  </si>
  <si>
    <t>二级模块</t>
  </si>
  <si>
    <t>三级模块</t>
  </si>
  <si>
    <t>对应投标文件功能点名称</t>
  </si>
  <si>
    <t>说明</t>
  </si>
  <si>
    <t>对应报审表序号</t>
  </si>
  <si>
    <t>排期安排</t>
  </si>
  <si>
    <t>数据处理服务管理</t>
  </si>
  <si>
    <t>仪表盘</t>
  </si>
  <si>
    <t>共享接口访问频率统计</t>
  </si>
  <si>
    <t>可选取单个接口按分钟 / 天访问频次、同一类接口按分钟 / 天访问频次等指标</t>
  </si>
  <si>
    <t>三期</t>
  </si>
  <si>
    <t>接口质量统计</t>
  </si>
  <si>
    <t>从接口访问质量和提供质量两个维度，选取有效连接占比、有效数据占比等指标</t>
  </si>
  <si>
    <t>接口支撑应用统计</t>
  </si>
  <si>
    <t>选取接口对接的各类应用占比、单接口对接应用数量等指标</t>
  </si>
  <si>
    <t>数据量统计分析</t>
  </si>
  <si>
    <t>统计某类产品的监测数据量、增长量及变化趋势；告警数据量、增长量及变化趋势</t>
  </si>
  <si>
    <t>数据质量统计分析</t>
  </si>
  <si>
    <t>统计某类产品数据清洗通过率及变化趋势</t>
  </si>
  <si>
    <t>协议管理</t>
  </si>
  <si>
    <t>协议适配</t>
  </si>
  <si>
    <t>设备根据上报报文定义物体协议模型，平台实现设备报文自动解析</t>
  </si>
  <si>
    <t>协议模型</t>
  </si>
  <si>
    <t>对协议模型的管理，包括增删改查的操作</t>
  </si>
  <si>
    <t>设备空间管理</t>
  </si>
  <si>
    <t>点位管理</t>
  </si>
  <si>
    <t>基础目录设备管理</t>
  </si>
  <si>
    <t>实现点位信息和源数据的对接</t>
  </si>
  <si>
    <t>一期</t>
  </si>
  <si>
    <t>标签管理</t>
  </si>
  <si>
    <t>数据治理-标签管理</t>
  </si>
  <si>
    <t>支持用户针对自身业务特点管理常用点位标准，支持自定义属性</t>
  </si>
  <si>
    <t>地图展示</t>
  </si>
  <si>
    <t>电子地图-地图广场</t>
  </si>
  <si>
    <t>支持在电子地图上分标签、多图层进行可视化展示</t>
  </si>
  <si>
    <t>空间治理</t>
  </si>
  <si>
    <t>包括对设备的经纬度、安装地址、室内外、朝向、场所类型、采集部位、地图治理</t>
  </si>
  <si>
    <t>设备治理</t>
  </si>
  <si>
    <t>任务创建</t>
  </si>
  <si>
    <t>治理任务-新增</t>
  </si>
  <si>
    <t>创建指定待治理的点位和治理项，可约束治理完成时间，支持查看各点位治理进度</t>
  </si>
  <si>
    <t>指派任务</t>
  </si>
  <si>
    <t>治理任务-选择治理人员</t>
  </si>
  <si>
    <t>将治理项和点位对象分派给不同治理人，支持查看各点位治理进度</t>
  </si>
  <si>
    <t>设备治理同步</t>
  </si>
  <si>
    <t>默认同步，增加同步按钮</t>
  </si>
  <si>
    <t>定期将本地未同步设备信息表中的数据向上级或其他系统同步</t>
  </si>
  <si>
    <t>日志管理</t>
  </si>
  <si>
    <t>用户日志</t>
  </si>
  <si>
    <t>对用户的各类操作进行日志记录</t>
  </si>
  <si>
    <t>系统日志</t>
  </si>
  <si>
    <t>对系统提供的后台服务进行日志记录</t>
  </si>
  <si>
    <t>日志记录</t>
  </si>
  <si>
    <t>将日志按一定格式记录并持久化存储</t>
  </si>
  <si>
    <t>日志检索</t>
  </si>
  <si>
    <t>提供日志查看和查询功能</t>
  </si>
  <si>
    <t>日志报表</t>
  </si>
  <si>
    <t>将检索后的日志导出到报表，支持.CVS、.EXCEL 等格式</t>
  </si>
  <si>
    <t>二期</t>
  </si>
  <si>
    <t>物联设备管理</t>
  </si>
  <si>
    <t>设备离在线统计分析</t>
  </si>
  <si>
    <t>按不同时间和类型对设备离在线情况统计分析</t>
  </si>
  <si>
    <t>设备告警统计分析</t>
  </si>
  <si>
    <t>按不同时间和类型对设备告警情况统计分析</t>
  </si>
  <si>
    <t>感知数据统计分析</t>
  </si>
  <si>
    <t>按不同时间和类型对感知数据统计分析</t>
  </si>
  <si>
    <t>设备控制统计分析</t>
  </si>
  <si>
    <t>按不同时间和类型对设备控制情况统计分析</t>
  </si>
  <si>
    <t>设备运维统计分析</t>
  </si>
  <si>
    <t>按不同时间和类型对设备运维情况统计分析</t>
  </si>
  <si>
    <t>统计分析</t>
  </si>
  <si>
    <t>支持对治理人员工作量和设备属性两个维度的统计分析</t>
  </si>
  <si>
    <t>设备控制监测</t>
  </si>
  <si>
    <t>实时监测设备被控制的状态，包括被控设备名称、控制应用名称等</t>
  </si>
  <si>
    <t>设备接入监测</t>
  </si>
  <si>
    <t>实时监测平台已接入设备，按类型、传输协议等进行统计分析与监测</t>
  </si>
  <si>
    <t>流量监测</t>
  </si>
  <si>
    <t>实时监测每个上报的数据流，流量不符合配置规则时产生异常事件</t>
  </si>
  <si>
    <t>接口监测</t>
  </si>
  <si>
    <t>实时监测每个应用调用平台接口的状况，调用失败时产生异常事件</t>
  </si>
  <si>
    <t>平台推送监测</t>
  </si>
  <si>
    <t>实时监测平台向第三方应用推送数据的状态</t>
  </si>
  <si>
    <t>共享数据监测</t>
  </si>
  <si>
    <t>实时监测平台共享的数据，包括共享应用、方式、流量、条数</t>
  </si>
  <si>
    <t>产品</t>
  </si>
  <si>
    <t>创建产品</t>
  </si>
  <si>
    <t>在创建新的产品时，需要填写产品名称、选择所属行业、选择产品类型、产品厂家和产品型号</t>
  </si>
  <si>
    <t>产品注册</t>
  </si>
  <si>
    <t>注册时填写产品信息（产品名称、产品类型等），平台生成新的产品 ID，完成注册</t>
  </si>
  <si>
    <t>产品列表</t>
  </si>
  <si>
    <t>产品列表指以列表的形式展示平台已经添加的产品</t>
  </si>
  <si>
    <t>产品详情</t>
  </si>
  <si>
    <t>产品详情指对具体产品的操作，包括产品信息查看、产品模型定义、产品数据解析规则定义</t>
  </si>
  <si>
    <t>设备</t>
  </si>
  <si>
    <t>设备添加</t>
  </si>
  <si>
    <t>设备添加新的设备，需要选择以下信息：所属行业、产品类别、产品名称、产品厂家和产品型号</t>
  </si>
  <si>
    <t>设备注册</t>
  </si>
  <si>
    <t>填写设备名称、用户名等信息，选择所属产品类型，平台生成设备 ID</t>
  </si>
  <si>
    <t>设备信息录入</t>
  </si>
  <si>
    <t>开发者在平台上录入设备的基本信息，包括设备型号、设备厂家等</t>
  </si>
  <si>
    <t>设备列表</t>
  </si>
  <si>
    <t>设备列表将展示平台添加的设备的基本信息，包括设备名称、产品名称、设备厂家、设备型号、最后上线时间</t>
  </si>
  <si>
    <t>设备详情</t>
  </si>
  <si>
    <t>设备详情可展示设备信息（设备名称、产品名称、厂商、设备 IMEI 码等），还可查看历史数据、历史命令和设备日志</t>
  </si>
  <si>
    <t>设备属性管理</t>
  </si>
  <si>
    <t>用户可以对设备类别中的属性进行管理，包括新增属性、编辑属性、删除属性等操作</t>
  </si>
  <si>
    <t>设备功能定义管理</t>
  </si>
  <si>
    <t>用户可以定义设备类别的功能，包括设备支持的操作、命令、事件等，以便对设备进行控制和监测</t>
  </si>
  <si>
    <t>设备信息管理</t>
  </si>
  <si>
    <t>编辑已建设备的信息内容，支持修改：设备服役时间、设备退役提醒、提醒人员、提醒方式</t>
  </si>
  <si>
    <t>设备信息</t>
  </si>
  <si>
    <t>查看设备的类型、状态、属性等信息，以便更好地了解设备状况进行调试</t>
  </si>
  <si>
    <t>设备查询</t>
  </si>
  <si>
    <t>根据查询条件（设备名称、设备 ID、设备生命周期等）在设备列表中查找指定设备</t>
  </si>
  <si>
    <t>设备接入</t>
  </si>
  <si>
    <t>根据标准的接口进行设备接入调用服务</t>
  </si>
  <si>
    <t>设备调试</t>
  </si>
  <si>
    <t>平台提供在线调试功能，用于设备基本功能的调试</t>
  </si>
  <si>
    <t>数据及设备展示</t>
  </si>
  <si>
    <t>开发者可以查看设备调试的相关数据和设备接入后的状态等</t>
  </si>
  <si>
    <t>设备数据上报</t>
  </si>
  <si>
    <t>数据上报</t>
  </si>
  <si>
    <t>设备将实时数据通过平台上传，可实时查看上传数据进行分析处理</t>
  </si>
  <si>
    <t>命令下发</t>
  </si>
  <si>
    <t>用户在平台上通过远程控制发送命令到设备，进行调试和操作</t>
  </si>
  <si>
    <t>设备概况</t>
  </si>
  <si>
    <t>查看创建设备的概况信息，包括设备名称、设备 ID、设备创建时间、设备退役时间等</t>
  </si>
  <si>
    <t>设备开发配置</t>
  </si>
  <si>
    <t>以设备清单方式实现开放配置，包括设备组织名称、设备名称、开放状态</t>
  </si>
  <si>
    <t>感知数据目录管理</t>
  </si>
  <si>
    <t>以感知设备类型发布数据目录</t>
  </si>
  <si>
    <t>设备组开发配置</t>
  </si>
  <si>
    <t>设备按类型、行业、部门、区域自动分组，支持自定义分组（创建、查询等）</t>
  </si>
  <si>
    <t>平台命令反馈</t>
  </si>
  <si>
    <t>通过在线调试、设备历史数据、设备日志查看设备命令反馈</t>
  </si>
  <si>
    <t>视频设备管理</t>
  </si>
  <si>
    <t>视频目录管理</t>
  </si>
  <si>
    <t>以视频服务接口的方式服务目录</t>
  </si>
  <si>
    <t>视频通道管理</t>
  </si>
  <si>
    <t>设备分组</t>
  </si>
  <si>
    <t>设备类别管理</t>
  </si>
  <si>
    <t>用户可以创建新的设备类别，设置设备类别的名称、描述、属性等信息</t>
  </si>
  <si>
    <t>物模型知识库</t>
  </si>
  <si>
    <t>设备实例管理</t>
  </si>
  <si>
    <t>用户可以根据设备类别创建设备实例，为具体的设备分配相应的类别和属性</t>
  </si>
  <si>
    <t>物模型管理</t>
  </si>
  <si>
    <t>物体协议模型适配</t>
  </si>
  <si>
    <t>将感知设备终端上报的报文协议抽象为数据模型，实现协议自动解析</t>
  </si>
  <si>
    <t>协议解析插件适配</t>
  </si>
  <si>
    <t>报文数据的另一种解析方式，实现无法通过物体协议模型适配解析的数据报文解析</t>
  </si>
  <si>
    <t>元数据分类管理</t>
  </si>
  <si>
    <t>以数据字典管理方式维护元数据分类，支持配置，包括设备基本信息、状态信息等</t>
  </si>
  <si>
    <t>元数据编辑</t>
  </si>
  <si>
    <t>支持对元数据的新增、修改、删除</t>
  </si>
  <si>
    <t>元数据版本管理及回溯</t>
  </si>
  <si>
    <t>记录每次元数据编辑的修改日志及版本号，可通过版本号追溯调整或查看历史</t>
  </si>
  <si>
    <t>元数据查询</t>
  </si>
  <si>
    <t>支持按元数据类别、中文名称、英文名称等条件查询，支持值域中代码集查询</t>
  </si>
  <si>
    <t>产品分类</t>
  </si>
  <si>
    <t>创建产品类型</t>
  </si>
  <si>
    <t>开发者在平台上创建想要对接的产品类型</t>
  </si>
  <si>
    <t>标准产品</t>
  </si>
  <si>
    <t>数据实例编辑</t>
  </si>
  <si>
    <t>支持对数据实例的新增和删除</t>
  </si>
  <si>
    <t>数据结构编辑</t>
  </si>
  <si>
    <t>支持对数据结构的新增和删除</t>
  </si>
  <si>
    <t>数据实例版本管理及回溯</t>
  </si>
  <si>
    <t>每个数据实例有版本号，可通过版本号查看数据结构和元数据的调整</t>
  </si>
  <si>
    <t>数据实例查询</t>
  </si>
  <si>
    <t>支持按行业、部门、产品类型、区域等条件查询数据实例</t>
  </si>
  <si>
    <t>设备模型类型管理</t>
  </si>
  <si>
    <t>对入库的各类设备进行模型类型的管理，包括增删改查的操作</t>
  </si>
  <si>
    <t>设备协议模型标识</t>
  </si>
  <si>
    <t>对入库的设备协议模型的管理，定义标识符，包括增删改查的操作</t>
  </si>
  <si>
    <t>数据类型</t>
  </si>
  <si>
    <t>对数据类型的管理，包括增删改查的操作</t>
  </si>
  <si>
    <t>告警中心</t>
  </si>
  <si>
    <t>告警列表</t>
  </si>
  <si>
    <t>设备告警列表界面展示设备的告警信息，可根据项目分组名称、产品名称、设备名称、告警类型筛选查看</t>
  </si>
  <si>
    <t>事件监听</t>
  </si>
  <si>
    <t>提供实时控制事件监听器的监听状态的能力</t>
  </si>
  <si>
    <t>基础配置</t>
  </si>
  <si>
    <t>事件等级管理</t>
  </si>
  <si>
    <t>提供事件严重等级的增加、更新、删除功能，可输入级别名称、选择严重等级（一般、较大、重大、特别重大）和颜色（红、黄、绿、橙）</t>
  </si>
  <si>
    <t>告警配置</t>
  </si>
  <si>
    <t>可选择不同设备，根据其功能属性和业务需求配置告警规则，对设备状态进行告警监测</t>
  </si>
  <si>
    <t>告警工作流程配置</t>
  </si>
  <si>
    <t>支持根据不同告警类型，设置告警优先级、时效，提供及时的告警推送方式</t>
  </si>
  <si>
    <t>告警处置</t>
  </si>
  <si>
    <t>告警产生后，根据事先配置的流程及相关负责部门、第三方应用自动流转</t>
  </si>
  <si>
    <t>感知数据告警</t>
  </si>
  <si>
    <t>支持感知数据告警规则的新增、禁用、修改、删除</t>
  </si>
  <si>
    <t>设备状态告警</t>
  </si>
  <si>
    <t>支持设备状态告警规则的新增、禁用、修改、删除</t>
  </si>
  <si>
    <t>设备事件告警</t>
  </si>
  <si>
    <t>支持设备事件告警规则的新增、禁用、修改、删除</t>
  </si>
  <si>
    <t>告警记录</t>
  </si>
  <si>
    <t>设备在 / 离线监测</t>
  </si>
  <si>
    <t>实时监控感知终端的在线、离线状态</t>
  </si>
  <si>
    <t>设备数据异常监测</t>
  </si>
  <si>
    <t>实时监控设备数据，异常时系统自动告警</t>
  </si>
  <si>
    <t>设备告警异常监测</t>
  </si>
  <si>
    <t>设备本身异常时，将异常信息上报到平台</t>
  </si>
  <si>
    <t>规则引擎</t>
  </si>
  <si>
    <t>规则编排</t>
  </si>
  <si>
    <t>清洗规则配置</t>
  </si>
  <si>
    <t>支持清洗规则新增、修改、禁用、删除</t>
  </si>
  <si>
    <t>感知数据清洗</t>
  </si>
  <si>
    <t>设备上报数据解析后，根据启用的清洗规则进行数据清洗</t>
  </si>
  <si>
    <t>感知报文存储</t>
  </si>
  <si>
    <t>清洗成功的数据入库，原报文标为 “已入库”；失败的标为 “清洗未通过” 并备注原因</t>
  </si>
  <si>
    <t>提供上报数据至平台的方法</t>
  </si>
  <si>
    <t>下发数据接收</t>
  </si>
  <si>
    <t>接收平台下发数据的接口类</t>
  </si>
  <si>
    <t>协议解析二次接口</t>
  </si>
  <si>
    <t>针对感知设备 / 第三方系统基于 TCP/HTTP/MQTT/CoAP 等协议接入平台，提供接口类</t>
  </si>
  <si>
    <t>异常告警二次开发接口</t>
  </si>
  <si>
    <t>支持二次开发者开发异常报警规则和后继处理</t>
  </si>
  <si>
    <t>目录发布</t>
  </si>
  <si>
    <t>平台将数据发布成服务，形成服务目录</t>
  </si>
  <si>
    <t>场景联动</t>
  </si>
  <si>
    <t>事件类型管理</t>
  </si>
  <si>
    <t>允许用户新增事件类型数据，支持后期对事件类型数据进行维护</t>
  </si>
  <si>
    <t>批量数据维护</t>
  </si>
  <si>
    <t>用户可通过批量导入、导出等操作，一次性修改或更新多个事件类型的数据</t>
  </si>
  <si>
    <t>事件等级查询</t>
  </si>
  <si>
    <t>提供条件查询和分页查询功能，可通过输入等级名称、选择严重等级和颜色标记筛选</t>
  </si>
  <si>
    <t>事件通知管理</t>
  </si>
  <si>
    <t>用户可添加、修改新的事件通知，需指定事件类型、触发条件、通知方式和接收者</t>
  </si>
  <si>
    <t>事件通知查询</t>
  </si>
  <si>
    <t>用户可通过事件类型、关键字、通知方式等条件筛选搜索已配置的事件通知</t>
  </si>
  <si>
    <t>事件规则管理</t>
  </si>
  <si>
    <t>对事件规则进行添加、修改和查询等维护操作</t>
  </si>
  <si>
    <t>角色管理</t>
  </si>
  <si>
    <t>设备使用管理</t>
  </si>
  <si>
    <t>对设备的使用情况进行管理</t>
  </si>
  <si>
    <t>设备控制管理</t>
  </si>
  <si>
    <t>对管理的设备控制权限进行管理</t>
  </si>
  <si>
    <t>部门管理</t>
  </si>
  <si>
    <t>设备权限管理</t>
  </si>
  <si>
    <t>管理者可根据不同的设备类型查询查看设备的权限</t>
  </si>
  <si>
    <t>数据权限管理</t>
  </si>
  <si>
    <t>管理者可查看相关设备的数据访问权限</t>
  </si>
  <si>
    <t>权限申请</t>
  </si>
  <si>
    <t>需求登记</t>
  </si>
  <si>
    <t>应用开发者为每个应用登记数据需求、服务需求；设备所有者可获设备所有数据</t>
  </si>
  <si>
    <t>审批与授权</t>
  </si>
  <si>
    <t>包括数据和服务目标的审批与授权</t>
  </si>
  <si>
    <t>信息查看</t>
  </si>
  <si>
    <t>以列表形式查看当前系统的审批授权情况</t>
  </si>
  <si>
    <t>审批授权</t>
  </si>
  <si>
    <t>由数据所有方完成数据审批与授权，指定可共享的设备清单及数据属性</t>
  </si>
  <si>
    <t>第三方平台管理</t>
  </si>
  <si>
    <t>鉴权连接</t>
  </si>
  <si>
    <t>验证设备与平台身份，确保合法设备操作平台，在线调试时需身份验证通过方可远程调试</t>
  </si>
  <si>
    <t>应用注册</t>
  </si>
  <si>
    <t>开发者在平台上注册应用，平台分配用于身份认证的 Appkey/Secret</t>
  </si>
  <si>
    <t>数据应用登记</t>
  </si>
  <si>
    <t>面向数据应用方，登记时需填写单位信息、联系人信息、数据用途等</t>
  </si>
  <si>
    <t>平台信息管理</t>
  </si>
  <si>
    <t>对第三方平台信息进行结构化、分类管理，包括服务商联系方式、服务类型、范围、内容等</t>
  </si>
  <si>
    <t>设备应用登记</t>
  </si>
  <si>
    <t>面向设备所有方，可根据所有权直接登记设备产生的所有数据</t>
  </si>
  <si>
    <t>接口监控</t>
  </si>
  <si>
    <t>对接口运行状态实时监控，及时发现并解决问题</t>
  </si>
  <si>
    <t>接口权限控制</t>
  </si>
  <si>
    <t>对接口进行权限管理，确保仅授权用户访问，保障数据安全</t>
  </si>
  <si>
    <t>接口版本管理</t>
  </si>
  <si>
    <t>针对不同版本接口进行管理控制，确保数据兼容性和稳定性</t>
  </si>
  <si>
    <t>接口性能优化</t>
  </si>
  <si>
    <t>对接口进行性能测试和优化，提高处理速度和稳定性，保障系统高效运行</t>
  </si>
  <si>
    <t>接口日志记录</t>
  </si>
  <si>
    <t>记录接口调用情况，方便问题分析跟踪，及时发现解决问题</t>
  </si>
  <si>
    <t>平台入网注册</t>
  </si>
  <si>
    <t>需申请用户账号，登记第三方 IoT 平台信息和安全验证信息，注册成功生成标识 ID</t>
  </si>
  <si>
    <t>平台接入认证</t>
  </si>
  <si>
    <t>通过平台安全认证接口，实现平台间安全连接</t>
  </si>
  <si>
    <t>平台设备清单接入</t>
  </si>
  <si>
    <t>通过平台设备查询接口，获取第三方可接入设备清单</t>
  </si>
  <si>
    <t>平台设备能力接入</t>
  </si>
  <si>
    <t>根据第三方系统提供的设备清单，获取设备的能力与属性</t>
  </si>
  <si>
    <t>平台设备状态接入</t>
  </si>
  <si>
    <t>根据第三方系统提供的设备清单，获取设备的状态</t>
  </si>
  <si>
    <t>平台数据接入</t>
  </si>
  <si>
    <t>通过第三方系统设备数据订阅接口获取设备数据</t>
  </si>
  <si>
    <t>接口配置</t>
  </si>
  <si>
    <t>对与第三方系统的接口进行配置管理</t>
  </si>
  <si>
    <t>设备鉴权</t>
  </si>
  <si>
    <t>通过平台获取控制设备的一系列操作权限</t>
  </si>
  <si>
    <t>平台控制设备路径</t>
  </si>
  <si>
    <t>从设备列表中选取控制设备</t>
  </si>
  <si>
    <t>第三方系统控制设备路径</t>
  </si>
  <si>
    <t>第三方应用获取控制设备路径</t>
  </si>
  <si>
    <t>平台状态获取</t>
  </si>
  <si>
    <t>从设备列表中获取设备在线状态</t>
  </si>
  <si>
    <t>第三方系统状态获取</t>
  </si>
  <si>
    <t>第三方应用获取控制设备在线状态</t>
  </si>
  <si>
    <t>平台命令控制</t>
  </si>
  <si>
    <t>从设备列表中选择设备详情，进入在线调试，下发控制命令</t>
  </si>
  <si>
    <t>第三方系统命令控制</t>
  </si>
  <si>
    <t>第三方应用下发控制设备命令</t>
  </si>
  <si>
    <t>第三方系统命令反馈</t>
  </si>
  <si>
    <t>第三方应用控制设备命令反馈</t>
  </si>
  <si>
    <t>数据访问量统计分析</t>
  </si>
  <si>
    <t>统计某类数据目录的访问第三方应用、次数、数据包大小及趋势</t>
  </si>
  <si>
    <t>服务目录管理</t>
  </si>
  <si>
    <t>将已有数据资源按不同应用场景，以第三方应用需求为牵引发布服务接口</t>
  </si>
  <si>
    <t>数据共享调用</t>
  </si>
  <si>
    <t>审批通过后，应用使用 Appkey/Secret 访问服务接口并获取数据</t>
  </si>
  <si>
    <t>单设备数据共享</t>
  </si>
  <si>
    <t>支持对单个设备进行数据共享</t>
  </si>
  <si>
    <t>批量设备数据共享</t>
  </si>
  <si>
    <t>支持对批量同类设备进行数据共享</t>
  </si>
  <si>
    <t>业务告警数据共享</t>
  </si>
  <si>
    <t>支持对业务告警数据进行数据共享</t>
  </si>
  <si>
    <t>设备异常数据共享</t>
  </si>
  <si>
    <t>支持对设备异常数据进行数据共享</t>
  </si>
  <si>
    <t>统计数据共享</t>
  </si>
  <si>
    <t>根据不同的数据共享类型进行多维度统计</t>
  </si>
  <si>
    <t>趋势分析数据共享</t>
  </si>
  <si>
    <t>对历史的共享数据进行统计分析，形成趋势分析</t>
  </si>
  <si>
    <t>API管理</t>
  </si>
  <si>
    <t>设备开放管理</t>
  </si>
  <si>
    <t>对设备的开放程度进行管理</t>
  </si>
  <si>
    <t>视频权限管理</t>
  </si>
  <si>
    <t>直接共享</t>
  </si>
  <si>
    <t>应用共享</t>
  </si>
  <si>
    <t>直接向应用系统提供视频监控系统流地址</t>
  </si>
  <si>
    <t>代理共享</t>
  </si>
  <si>
    <t>上级平台管理</t>
  </si>
  <si>
    <t>向应用系统提供平台的代理流地址</t>
  </si>
  <si>
    <t>登陆页面</t>
  </si>
  <si>
    <t>开发者注册</t>
  </si>
  <si>
    <t>应用开发者在平台注册账号，通过开发者门户配置应用登记需求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</si>
</sst>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scheme val="minor"/>
    </font>
    <font>
      <b/>
      <sz val="14"/>
      <name val="宋体"/>
      <charset val="134"/>
    </font>
    <font>
      <sz val="11"/>
      <name val="宋体"/>
      <charset val="134"/>
    </font>
    <font>
      <b/>
      <sz val="11"/>
      <name val="宋体"/>
      <charset val="134"/>
      <scheme val="minor"/>
    </font>
    <font>
      <b/>
      <sz val="12"/>
      <name val="宋体"/>
      <charset val="134"/>
      <scheme val="minor"/>
    </font>
    <font>
      <sz val="11"/>
      <color rgb="FFFF0000"/>
      <name val="宋体"/>
      <charset val="134"/>
      <scheme val="minor"/>
    </font>
    <font>
      <sz val="18"/>
      <color rgb="FFFF0000"/>
      <name val="宋体"/>
      <charset val="134"/>
      <scheme val="minor"/>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9"/>
        <bgColor indexed="64"/>
      </patternFill>
    </fill>
    <fill>
      <patternFill patternType="solid">
        <fgColor theme="8" tint="0.8"/>
        <bgColor indexed="64"/>
      </patternFill>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6"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7" borderId="14" applyNumberFormat="0" applyAlignment="0" applyProtection="0">
      <alignment vertical="center"/>
    </xf>
    <xf numFmtId="0" fontId="18" fillId="8" borderId="15" applyNumberFormat="0" applyAlignment="0" applyProtection="0">
      <alignment vertical="center"/>
    </xf>
    <xf numFmtId="0" fontId="19" fillId="8" borderId="14" applyNumberFormat="0" applyAlignment="0" applyProtection="0">
      <alignment vertical="center"/>
    </xf>
    <xf numFmtId="0" fontId="20" fillId="9"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58">
    <xf numFmtId="0" fontId="0" fillId="0" borderId="0" xfId="0"/>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1" fillId="0" borderId="0" xfId="0" applyFont="1" applyAlignment="1">
      <alignment horizontal="center" vertical="center"/>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4" fillId="0" borderId="0" xfId="0" applyFont="1" applyAlignment="1">
      <alignment horizontal="center" vertical="center" wrapText="1"/>
    </xf>
    <xf numFmtId="0" fontId="1" fillId="0" borderId="1"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1" fillId="0" borderId="1" xfId="0" applyFont="1" applyFill="1" applyBorder="1" applyAlignment="1">
      <alignment horizontal="center" vertical="center" wrapText="1"/>
    </xf>
    <xf numFmtId="0" fontId="6"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5" fillId="0" borderId="4"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0" borderId="4" xfId="0" applyFont="1" applyFill="1" applyBorder="1" applyAlignment="1">
      <alignment horizontal="center" vertical="center"/>
    </xf>
    <xf numFmtId="0" fontId="5" fillId="4" borderId="1" xfId="0" applyFont="1" applyFill="1" applyBorder="1" applyAlignment="1">
      <alignment horizontal="left"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5" fillId="4" borderId="1" xfId="0" applyFont="1" applyFill="1" applyBorder="1" applyAlignment="1">
      <alignment vertic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5" fillId="4" borderId="2" xfId="0" applyFont="1" applyFill="1" applyBorder="1" applyAlignment="1">
      <alignment vertical="center"/>
    </xf>
    <xf numFmtId="0" fontId="7" fillId="3" borderId="1" xfId="0" applyFont="1" applyFill="1" applyBorder="1" applyAlignment="1">
      <alignment horizontal="center" vertical="center"/>
    </xf>
    <xf numFmtId="0" fontId="0" fillId="0" borderId="1" xfId="0" applyBorder="1" applyAlignment="1">
      <alignment horizontal="center" vertical="center"/>
    </xf>
    <xf numFmtId="0" fontId="8" fillId="0" borderId="1" xfId="0" applyFont="1" applyFill="1" applyBorder="1" applyAlignment="1">
      <alignment horizontal="center" vertical="center"/>
    </xf>
    <xf numFmtId="0" fontId="8" fillId="0" borderId="3"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8"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5" fillId="4"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3C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wangjingang/Library/Containers/com.tencent.xinWeChat/Data/Documents/xwechat_files/wjg1990_3d8a/msg/file/2026-01/C:/Users/Administrator/Downloads/OneMsgFileRec/2025&#24180;11&#26376;/&#37329;&#21326;&#29702;&#24037;&#21151;&#33021;&#28165;&#21333;-&#25253;&#23457;-111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2">
          <cell r="G2" t="str">
            <v>对应投标文件功能点名称</v>
          </cell>
          <cell r="H2" t="str">
            <v>说明</v>
          </cell>
          <cell r="I2" t="str">
            <v>三级模块
是否对应
招标功能</v>
          </cell>
          <cell r="J2" t="str">
            <v>三级模块
对应招标
具体行码</v>
          </cell>
          <cell r="K2" t="str">
            <v>序号</v>
          </cell>
        </row>
        <row r="3">
          <cell r="G3" t="str">
            <v>共享接口访问频率统计</v>
          </cell>
          <cell r="H3" t="str">
            <v>可选取单个接口按分钟/天访问频次、同一类接口按分钟/天访问频次等指标</v>
          </cell>
          <cell r="I3" t="str">
            <v>是</v>
          </cell>
          <cell r="J3">
            <v>143</v>
          </cell>
          <cell r="K3">
            <v>1</v>
          </cell>
        </row>
        <row r="4">
          <cell r="G4" t="str">
            <v>接口质量统计</v>
          </cell>
          <cell r="H4" t="str">
            <v>从接口访问质量和提供质量两个维度，选取有效连接占比、有效数据占比等指标</v>
          </cell>
          <cell r="I4" t="str">
            <v>是</v>
          </cell>
          <cell r="J4">
            <v>144</v>
          </cell>
          <cell r="K4">
            <v>2</v>
          </cell>
        </row>
        <row r="5">
          <cell r="G5" t="str">
            <v>接口支撑应用统计</v>
          </cell>
          <cell r="H5" t="str">
            <v>选取接口对接的各类应用占比、单接口对接应用数量等指标</v>
          </cell>
          <cell r="I5" t="str">
            <v>是</v>
          </cell>
          <cell r="J5">
            <v>145</v>
          </cell>
          <cell r="K5">
            <v>3</v>
          </cell>
        </row>
        <row r="6">
          <cell r="G6" t="str">
            <v>数据量统计分析</v>
          </cell>
          <cell r="H6" t="str">
            <v>统计某类产品的监测数据量、增长量及变化趋势；告警数据量、增长量及变化趋势</v>
          </cell>
          <cell r="I6" t="str">
            <v>是</v>
          </cell>
          <cell r="J6">
            <v>73</v>
          </cell>
          <cell r="K6">
            <v>4</v>
          </cell>
        </row>
        <row r="7">
          <cell r="G7" t="str">
            <v>数据质量统计分析</v>
          </cell>
          <cell r="H7" t="str">
            <v>统计某类产品数据清洗通过率及变化趋势</v>
          </cell>
          <cell r="I7" t="str">
            <v>是</v>
          </cell>
          <cell r="J7">
            <v>74</v>
          </cell>
          <cell r="K7">
            <v>5</v>
          </cell>
        </row>
        <row r="8">
          <cell r="G8" t="str">
            <v>协议适配</v>
          </cell>
          <cell r="H8" t="str">
            <v>设备根据上报报文定义物体协议模型，平台实现设备报文自动解析</v>
          </cell>
          <cell r="I8" t="str">
            <v>是</v>
          </cell>
          <cell r="J8">
            <v>22</v>
          </cell>
          <cell r="K8">
            <v>6</v>
          </cell>
        </row>
        <row r="9">
          <cell r="G9" t="str">
            <v>设备注册</v>
          </cell>
          <cell r="H9" t="str">
            <v>填写设备名称、用户名等信息，选择所属产品类型，平台生成设备ID</v>
          </cell>
          <cell r="I9" t="str">
            <v>是</v>
          </cell>
          <cell r="J9">
            <v>21</v>
          </cell>
          <cell r="K9">
            <v>7</v>
          </cell>
        </row>
        <row r="10">
          <cell r="G10" t="str">
            <v>设备类别创建</v>
          </cell>
          <cell r="H10" t="str">
            <v>用户可以创建新的设备类别，设置设备类别的名称、描述、属性等信息</v>
          </cell>
          <cell r="I10" t="str">
            <v>是</v>
          </cell>
          <cell r="J10">
            <v>1</v>
          </cell>
          <cell r="K10">
            <v>8</v>
          </cell>
        </row>
        <row r="11">
          <cell r="G11" t="str">
            <v>设备属性管理</v>
          </cell>
          <cell r="H11" t="str">
            <v>用户可以对设备类别中的属性进行管理，包括新增属性、编辑属性、删除属性等操作</v>
          </cell>
          <cell r="I11" t="str">
            <v>是</v>
          </cell>
          <cell r="J11">
            <v>2</v>
          </cell>
          <cell r="K11">
            <v>9</v>
          </cell>
        </row>
        <row r="12">
          <cell r="G12" t="str">
            <v>设备功能定义管理</v>
          </cell>
          <cell r="H12" t="str">
            <v>用户可以定义设备类别的功能，包括设备支持的操作、命令、事件等，以便对设备进行控制和监测</v>
          </cell>
          <cell r="I12" t="str">
            <v>是</v>
          </cell>
          <cell r="J12">
            <v>3</v>
          </cell>
          <cell r="K12">
            <v>10</v>
          </cell>
        </row>
        <row r="13">
          <cell r="G13" t="str">
            <v>设备实例管理</v>
          </cell>
          <cell r="H13" t="str">
            <v>用户可以根据设备类别创建设备实例，为具体的设备分配相应的类别和属性</v>
          </cell>
          <cell r="I13" t="str">
            <v>是</v>
          </cell>
          <cell r="J13">
            <v>4</v>
          </cell>
          <cell r="K13">
            <v>11</v>
          </cell>
        </row>
        <row r="14">
          <cell r="G14" t="str">
            <v>数据上报</v>
          </cell>
          <cell r="H14" t="str">
            <v>设备将实时数据通过平台上传，可实时查看上传数据进行分析处理</v>
          </cell>
          <cell r="I14" t="str">
            <v>是</v>
          </cell>
          <cell r="J14">
            <v>25</v>
          </cell>
          <cell r="K14">
            <v>12</v>
          </cell>
        </row>
        <row r="15">
          <cell r="G15" t="str">
            <v>命令下发</v>
          </cell>
          <cell r="H15" t="str">
            <v>用户在平台上通过远程控制发送命令到设备，进行调试和操作</v>
          </cell>
          <cell r="I15" t="str">
            <v>是</v>
          </cell>
          <cell r="J15">
            <v>26</v>
          </cell>
          <cell r="K15">
            <v>13</v>
          </cell>
        </row>
        <row r="16">
          <cell r="G16" t="str">
            <v>点位管理</v>
          </cell>
          <cell r="H16" t="str">
            <v>实现点位信息和源数据的对接</v>
          </cell>
          <cell r="I16" t="str">
            <v>是</v>
          </cell>
          <cell r="J16">
            <v>27</v>
          </cell>
          <cell r="K16">
            <v>14</v>
          </cell>
        </row>
        <row r="17">
          <cell r="G17" t="str">
            <v>标签管理</v>
          </cell>
          <cell r="H17" t="str">
            <v>支持用户针对自身业务特点管理常用点位标准，支持自定义属性</v>
          </cell>
          <cell r="I17" t="str">
            <v>是</v>
          </cell>
          <cell r="J17">
            <v>28</v>
          </cell>
          <cell r="K17">
            <v>15</v>
          </cell>
        </row>
        <row r="18">
          <cell r="G18" t="str">
            <v>地图展示</v>
          </cell>
          <cell r="H18" t="str">
            <v>支持在电子地图上分标签、多图层进行可视化展示</v>
          </cell>
          <cell r="I18" t="str">
            <v>是</v>
          </cell>
          <cell r="J18">
            <v>29</v>
          </cell>
          <cell r="K18">
            <v>16</v>
          </cell>
        </row>
        <row r="19">
          <cell r="G19" t="str">
            <v>任务创建</v>
          </cell>
          <cell r="H19" t="str">
            <v>创建指定待治理的点位和治理项，可约束治理完成时间，支持查看各点位治理进度</v>
          </cell>
          <cell r="I19" t="str">
            <v>是</v>
          </cell>
          <cell r="J19">
            <v>30</v>
          </cell>
          <cell r="K19">
            <v>17</v>
          </cell>
        </row>
        <row r="20">
          <cell r="G20" t="str">
            <v>指派任务</v>
          </cell>
          <cell r="H20" t="str">
            <v>将治理项和点位对象分派给不同治理人，支持查看各点位治理进度</v>
          </cell>
          <cell r="I20" t="str">
            <v>是</v>
          </cell>
          <cell r="J20">
            <v>31</v>
          </cell>
          <cell r="K20">
            <v>18</v>
          </cell>
        </row>
        <row r="21">
          <cell r="G21" t="str">
            <v>设备治理同步</v>
          </cell>
          <cell r="H21" t="str">
            <v>定期将本地未同步设备信息表中的数据向上级或其他系统同步</v>
          </cell>
          <cell r="I21" t="str">
            <v>是</v>
          </cell>
          <cell r="J21">
            <v>32</v>
          </cell>
          <cell r="K21">
            <v>19</v>
          </cell>
        </row>
        <row r="22">
          <cell r="G22" t="str">
            <v>空间治理</v>
          </cell>
          <cell r="H22" t="str">
            <v>包括对设备的经纬度、安装地址、室内外、朝向、场所类型、采集部位、地图治理</v>
          </cell>
          <cell r="I22" t="str">
            <v>是</v>
          </cell>
          <cell r="J22">
            <v>33</v>
          </cell>
          <cell r="K22">
            <v>20</v>
          </cell>
        </row>
        <row r="23">
          <cell r="G23" t="str">
            <v>用户日志</v>
          </cell>
          <cell r="H23" t="str">
            <v>对用户的各类操作进行日志记录</v>
          </cell>
          <cell r="I23" t="str">
            <v>是</v>
          </cell>
          <cell r="J23">
            <v>94</v>
          </cell>
          <cell r="K23">
            <v>21</v>
          </cell>
        </row>
        <row r="24">
          <cell r="G24" t="str">
            <v>系统日志</v>
          </cell>
          <cell r="H24" t="str">
            <v>对系统提供的后台服务进行日志记录</v>
          </cell>
          <cell r="I24" t="str">
            <v>是</v>
          </cell>
          <cell r="J24">
            <v>95</v>
          </cell>
          <cell r="K24">
            <v>22</v>
          </cell>
        </row>
        <row r="25">
          <cell r="G25" t="str">
            <v>日志记录</v>
          </cell>
          <cell r="H25" t="str">
            <v>将日志按一定格式记录并持久化存储</v>
          </cell>
          <cell r="I25" t="str">
            <v>是</v>
          </cell>
          <cell r="J25">
            <v>96</v>
          </cell>
          <cell r="K25">
            <v>23</v>
          </cell>
        </row>
        <row r="26">
          <cell r="G26" t="str">
            <v>日志检索</v>
          </cell>
          <cell r="H26" t="str">
            <v>提供日志查看和查询功能</v>
          </cell>
          <cell r="I26" t="str">
            <v>是</v>
          </cell>
          <cell r="J26">
            <v>97</v>
          </cell>
          <cell r="K26">
            <v>24</v>
          </cell>
        </row>
        <row r="27">
          <cell r="G27" t="str">
            <v>日志报表</v>
          </cell>
          <cell r="H27" t="str">
            <v>将检索后的日志导出到报表，支持.CVS、.EXCEL等格式</v>
          </cell>
          <cell r="I27" t="str">
            <v>是</v>
          </cell>
          <cell r="J27">
            <v>98</v>
          </cell>
          <cell r="K27">
            <v>25</v>
          </cell>
        </row>
        <row r="28">
          <cell r="G28" t="str">
            <v>设备离在线统计分析</v>
          </cell>
          <cell r="H28" t="str">
            <v>按不同时间和类型对设备离在线情况统计分析</v>
          </cell>
          <cell r="I28" t="str">
            <v>是</v>
          </cell>
          <cell r="J28">
            <v>99</v>
          </cell>
          <cell r="K28">
            <v>26</v>
          </cell>
        </row>
        <row r="29">
          <cell r="G29" t="str">
            <v>设备告警统计分析</v>
          </cell>
          <cell r="H29" t="str">
            <v>按不同时间和类型对设备告警情况统计分析</v>
          </cell>
          <cell r="I29" t="str">
            <v>是</v>
          </cell>
          <cell r="J29">
            <v>100</v>
          </cell>
          <cell r="K29">
            <v>27</v>
          </cell>
        </row>
        <row r="30">
          <cell r="G30" t="str">
            <v>感知数据统计分析</v>
          </cell>
          <cell r="H30" t="str">
            <v>按不同时间和类型对感知数据统计分析</v>
          </cell>
          <cell r="I30" t="str">
            <v>是</v>
          </cell>
          <cell r="J30">
            <v>101</v>
          </cell>
          <cell r="K30">
            <v>28</v>
          </cell>
        </row>
        <row r="31">
          <cell r="G31" t="str">
            <v>设备控制统计分析</v>
          </cell>
          <cell r="H31" t="str">
            <v>按不同时间和类型对设备控制情况统计分析</v>
          </cell>
          <cell r="I31" t="str">
            <v>是</v>
          </cell>
          <cell r="J31">
            <v>102</v>
          </cell>
          <cell r="K31">
            <v>29</v>
          </cell>
        </row>
        <row r="32">
          <cell r="G32" t="str">
            <v>设备运维统计分析</v>
          </cell>
          <cell r="H32" t="str">
            <v>按不同时间和类型对设备运维情况统计分析</v>
          </cell>
          <cell r="I32" t="str">
            <v>是</v>
          </cell>
          <cell r="J32">
            <v>103</v>
          </cell>
          <cell r="K32">
            <v>30</v>
          </cell>
        </row>
        <row r="33">
          <cell r="G33" t="str">
            <v>统计分析</v>
          </cell>
          <cell r="H33" t="str">
            <v>支持对治理人员工作量和设备属性两个维度的统计分析</v>
          </cell>
          <cell r="I33" t="str">
            <v>是</v>
          </cell>
          <cell r="J33">
            <v>34</v>
          </cell>
          <cell r="K33">
            <v>31</v>
          </cell>
        </row>
        <row r="34">
          <cell r="G34" t="str">
            <v>设备控制监测</v>
          </cell>
          <cell r="H34" t="str">
            <v>实时监测设备被控制的状态，包括被控设备名称、控制应用名称等</v>
          </cell>
          <cell r="I34" t="str">
            <v>是</v>
          </cell>
          <cell r="J34">
            <v>88</v>
          </cell>
          <cell r="K34">
            <v>32</v>
          </cell>
        </row>
        <row r="35">
          <cell r="G35" t="str">
            <v>设备接入监测</v>
          </cell>
          <cell r="H35" t="str">
            <v>实时监测平台已接入设备，按类型、传输协议等进行统计分析与监测</v>
          </cell>
          <cell r="I35" t="str">
            <v>是</v>
          </cell>
          <cell r="J35">
            <v>89</v>
          </cell>
          <cell r="K35">
            <v>33</v>
          </cell>
        </row>
        <row r="36">
          <cell r="G36" t="str">
            <v>流量监测</v>
          </cell>
          <cell r="H36" t="str">
            <v>实时监测每个上报的数据流，流量不符合配置规则时产生异常事件</v>
          </cell>
          <cell r="I36" t="str">
            <v>是</v>
          </cell>
          <cell r="J36">
            <v>90</v>
          </cell>
          <cell r="K36">
            <v>34</v>
          </cell>
        </row>
        <row r="37">
          <cell r="G37" t="str">
            <v>接口监测</v>
          </cell>
          <cell r="H37" t="str">
            <v>实时监测每个应用调用平台接口的状况，调用失败时产生异常事件</v>
          </cell>
          <cell r="I37" t="str">
            <v>是</v>
          </cell>
          <cell r="J37">
            <v>91</v>
          </cell>
          <cell r="K37">
            <v>35</v>
          </cell>
        </row>
        <row r="38">
          <cell r="G38" t="str">
            <v>平台推送监测</v>
          </cell>
          <cell r="H38" t="str">
            <v>实时监测平台向第三方应用推送数据的状态</v>
          </cell>
          <cell r="I38" t="str">
            <v>是</v>
          </cell>
          <cell r="J38">
            <v>92</v>
          </cell>
          <cell r="K38">
            <v>36</v>
          </cell>
        </row>
        <row r="39">
          <cell r="G39" t="str">
            <v>共享数据监测</v>
          </cell>
          <cell r="H39" t="str">
            <v>实时监测平台共享的数据，包括共享应用、方式、流量、条数</v>
          </cell>
          <cell r="I39" t="str">
            <v>是</v>
          </cell>
          <cell r="J39">
            <v>93</v>
          </cell>
          <cell r="K39">
            <v>37</v>
          </cell>
        </row>
        <row r="40">
          <cell r="G40" t="str">
            <v>创建产品</v>
          </cell>
          <cell r="H40" t="str">
            <v>在创建新的产品时，需要填写产品名称、选择所属行业、选择产品类型、产品厂家和产品型号</v>
          </cell>
          <cell r="I40" t="str">
            <v>是</v>
          </cell>
          <cell r="J40">
            <v>5</v>
          </cell>
          <cell r="K40">
            <v>38</v>
          </cell>
        </row>
        <row r="41">
          <cell r="G41" t="str">
            <v>产品注册</v>
          </cell>
          <cell r="H41" t="str">
            <v>注册时填写产品信息（产品名称、产品类型等），平台生成新的产品ID，完成注册</v>
          </cell>
          <cell r="I41" t="str">
            <v>是</v>
          </cell>
          <cell r="J41">
            <v>20</v>
          </cell>
          <cell r="K41">
            <v>39</v>
          </cell>
        </row>
        <row r="42">
          <cell r="G42" t="str">
            <v>产品列表</v>
          </cell>
          <cell r="H42" t="str">
            <v>产品列表指以列表的形式展示平台已经添加的产品</v>
          </cell>
          <cell r="I42" t="str">
            <v>是</v>
          </cell>
          <cell r="J42">
            <v>6</v>
          </cell>
          <cell r="K42">
            <v>40</v>
          </cell>
        </row>
        <row r="43">
          <cell r="G43" t="str">
            <v>产品详情</v>
          </cell>
          <cell r="H43" t="str">
            <v>产品详情指对具体产品的操作，包括产品信息查看、产品模型定义、产品数据解析规则定义</v>
          </cell>
          <cell r="I43" t="str">
            <v>是</v>
          </cell>
          <cell r="J43">
            <v>7</v>
          </cell>
          <cell r="K43">
            <v>41</v>
          </cell>
        </row>
        <row r="44">
          <cell r="G44" t="str">
            <v>设备添加</v>
          </cell>
          <cell r="H44" t="str">
            <v>设备添加新的设备，需要选择以下信息：所属行业、产品类别、产品名称、产品厂家和产品型号</v>
          </cell>
          <cell r="I44" t="str">
            <v>是</v>
          </cell>
          <cell r="J44">
            <v>8</v>
          </cell>
          <cell r="K44">
            <v>42</v>
          </cell>
        </row>
        <row r="45">
          <cell r="G45" t="str">
            <v>设备列表</v>
          </cell>
          <cell r="H45" t="str">
            <v>设备列表将展示平台添加的设备的基本信息，包括设备名称、产品名称、设备厂家、设备型号、最后上线时间</v>
          </cell>
          <cell r="I45" t="str">
            <v>是</v>
          </cell>
          <cell r="J45">
            <v>9</v>
          </cell>
          <cell r="K45">
            <v>43</v>
          </cell>
        </row>
        <row r="46">
          <cell r="G46" t="str">
            <v>设备详情</v>
          </cell>
          <cell r="H46" t="str">
            <v>设备详情可展示设备信息（设备名称、产品名称、厂商、设备IMEI码等），还可查看历史数据、历史命令和设备日志</v>
          </cell>
          <cell r="I46" t="str">
            <v>是</v>
          </cell>
          <cell r="J46">
            <v>10</v>
          </cell>
          <cell r="K46">
            <v>44</v>
          </cell>
        </row>
        <row r="47">
          <cell r="G47" t="str">
            <v>设备模型类型管理</v>
          </cell>
          <cell r="H47" t="str">
            <v>对入库的各类设备进行模型类型的管理，包括增删改查的操作</v>
          </cell>
          <cell r="I47" t="str">
            <v>是</v>
          </cell>
          <cell r="J47">
            <v>11</v>
          </cell>
          <cell r="K47">
            <v>45</v>
          </cell>
        </row>
        <row r="48">
          <cell r="G48" t="str">
            <v>设备协议模型标识符</v>
          </cell>
          <cell r="H48" t="str">
            <v>对入库的设备协议模型的管理，定义标识符，包括增删改查的操作</v>
          </cell>
          <cell r="I48" t="str">
            <v>是</v>
          </cell>
          <cell r="J48">
            <v>12</v>
          </cell>
          <cell r="K48">
            <v>46</v>
          </cell>
        </row>
        <row r="49">
          <cell r="G49" t="str">
            <v>数据类型</v>
          </cell>
          <cell r="H49" t="str">
            <v>对数据类型的管理，包括增删改查的操作</v>
          </cell>
          <cell r="I49" t="str">
            <v>是</v>
          </cell>
          <cell r="J49">
            <v>13</v>
          </cell>
          <cell r="K49">
            <v>47</v>
          </cell>
        </row>
        <row r="50">
          <cell r="G50" t="str">
            <v>协议模型</v>
          </cell>
          <cell r="H50" t="str">
            <v>对协议模型的管理，包括增删改查的操作</v>
          </cell>
          <cell r="I50" t="str">
            <v>是</v>
          </cell>
          <cell r="J50">
            <v>14</v>
          </cell>
          <cell r="K50">
            <v>48</v>
          </cell>
        </row>
        <row r="51">
          <cell r="G51" t="str">
            <v>设备信息管理</v>
          </cell>
          <cell r="H51" t="str">
            <v>编辑已建设备的信息内容，支持修改：设备服役时间、设备退役提醒、提醒人员、提醒方式</v>
          </cell>
          <cell r="I51" t="str">
            <v>是</v>
          </cell>
          <cell r="J51">
            <v>17</v>
          </cell>
          <cell r="K51">
            <v>49</v>
          </cell>
        </row>
        <row r="52">
          <cell r="G52" t="str">
            <v>设备信息</v>
          </cell>
          <cell r="H52" t="str">
            <v>查看设备的类型、状态、属性等信息，以便更好地了解设备状况进行调试</v>
          </cell>
          <cell r="I52" t="str">
            <v>是</v>
          </cell>
          <cell r="J52">
            <v>24</v>
          </cell>
          <cell r="K52">
            <v>50</v>
          </cell>
        </row>
        <row r="53">
          <cell r="G53" t="str">
            <v>设备查询</v>
          </cell>
          <cell r="H53" t="str">
            <v>根据查询条件（设备名称、设备ID、设备生命周期等）在设备列表中查找指定设备</v>
          </cell>
          <cell r="I53" t="str">
            <v>是</v>
          </cell>
          <cell r="J53">
            <v>18</v>
          </cell>
          <cell r="K53">
            <v>51</v>
          </cell>
        </row>
        <row r="54">
          <cell r="G54" t="str">
            <v>设备概况</v>
          </cell>
          <cell r="H54" t="str">
            <v>查看创建设备的概况信息，包括设备名称、设备ID、设备创建时间、设备退役时间等</v>
          </cell>
          <cell r="I54" t="str">
            <v>是</v>
          </cell>
          <cell r="J54">
            <v>19</v>
          </cell>
          <cell r="K54">
            <v>52</v>
          </cell>
        </row>
        <row r="55">
          <cell r="G55" t="str">
            <v>设备开发配置</v>
          </cell>
          <cell r="H55" t="str">
            <v>以设备清单方式实现开放配置，包括设备组织名称、设备名称、开放状态</v>
          </cell>
          <cell r="I55" t="str">
            <v>是</v>
          </cell>
          <cell r="J55">
            <v>76</v>
          </cell>
          <cell r="K55">
            <v>53</v>
          </cell>
        </row>
        <row r="56">
          <cell r="G56" t="str">
            <v>感知数据目录管理</v>
          </cell>
          <cell r="H56" t="str">
            <v>以感知设备类型发布数据目录</v>
          </cell>
          <cell r="I56" t="str">
            <v>是</v>
          </cell>
          <cell r="J56">
            <v>78</v>
          </cell>
          <cell r="K56">
            <v>54</v>
          </cell>
        </row>
        <row r="57">
          <cell r="G57" t="str">
            <v>视频目录管理</v>
          </cell>
          <cell r="H57" t="str">
            <v>以视频服务接口的方式服务目录</v>
          </cell>
          <cell r="I57" t="str">
            <v>是</v>
          </cell>
          <cell r="J57">
            <v>79</v>
          </cell>
          <cell r="K57">
            <v>55</v>
          </cell>
        </row>
        <row r="58">
          <cell r="G58" t="str">
            <v>设备组开发配置</v>
          </cell>
          <cell r="H58" t="str">
            <v>设备按类型、行业、部门、区域自动分组，支持自定义分组（创建、查询等）</v>
          </cell>
          <cell r="I58" t="str">
            <v>是</v>
          </cell>
          <cell r="J58">
            <v>77</v>
          </cell>
          <cell r="K58">
            <v>56</v>
          </cell>
        </row>
        <row r="59">
          <cell r="G59" t="str">
            <v>物体协议模型适配</v>
          </cell>
          <cell r="H59" t="str">
            <v>将感知设备终端上报的报文协议抽象为数据模型，实现协议自动解析</v>
          </cell>
          <cell r="I59" t="str">
            <v>是</v>
          </cell>
          <cell r="J59">
            <v>47</v>
          </cell>
          <cell r="K59">
            <v>57</v>
          </cell>
        </row>
        <row r="60">
          <cell r="G60" t="str">
            <v>协议解析插件适配</v>
          </cell>
          <cell r="H60" t="str">
            <v>报文数据的另一种解析方式，实现无法通过物体协议模型适配解析的数据报文解析</v>
          </cell>
          <cell r="I60" t="str">
            <v>是</v>
          </cell>
          <cell r="J60">
            <v>48</v>
          </cell>
          <cell r="K60">
            <v>58</v>
          </cell>
        </row>
        <row r="61">
          <cell r="G61" t="str">
            <v>元数据分类管理</v>
          </cell>
          <cell r="H61" t="str">
            <v>以数据字典管理方式维护元数据分类，支持配置，包括设备基本信息、状态信息等</v>
          </cell>
          <cell r="I61" t="str">
            <v>是</v>
          </cell>
          <cell r="J61">
            <v>65</v>
          </cell>
          <cell r="K61">
            <v>59</v>
          </cell>
        </row>
        <row r="62">
          <cell r="G62" t="str">
            <v>元数据编辑</v>
          </cell>
          <cell r="H62" t="str">
            <v>支持对元数据的新增、修改、删除</v>
          </cell>
          <cell r="I62" t="str">
            <v>是</v>
          </cell>
          <cell r="J62">
            <v>66</v>
          </cell>
          <cell r="K62">
            <v>60</v>
          </cell>
        </row>
        <row r="63">
          <cell r="G63" t="str">
            <v>元数据版本管理及回溯</v>
          </cell>
          <cell r="H63" t="str">
            <v>记录每次元数据编辑的修改日志及版本号，可通过版本号追溯调整或查看历史</v>
          </cell>
          <cell r="I63" t="str">
            <v>是</v>
          </cell>
          <cell r="J63">
            <v>67</v>
          </cell>
          <cell r="K63">
            <v>61</v>
          </cell>
        </row>
        <row r="64">
          <cell r="G64" t="str">
            <v>元数据查询</v>
          </cell>
          <cell r="H64" t="str">
            <v>支持按元数据类别、中文名称、英文名称等条件查询，支持值域中代码集查询</v>
          </cell>
          <cell r="I64" t="str">
            <v>是</v>
          </cell>
          <cell r="J64">
            <v>68</v>
          </cell>
          <cell r="K64">
            <v>62</v>
          </cell>
        </row>
        <row r="65">
          <cell r="G65" t="str">
            <v>数据实例编辑</v>
          </cell>
          <cell r="H65" t="str">
            <v>支持对数据实例的新增和删除</v>
          </cell>
          <cell r="I65" t="str">
            <v>是</v>
          </cell>
          <cell r="J65">
            <v>69</v>
          </cell>
          <cell r="K65">
            <v>63</v>
          </cell>
        </row>
        <row r="66">
          <cell r="G66" t="str">
            <v>数据结构编辑</v>
          </cell>
          <cell r="H66" t="str">
            <v>支持对数据结构的新增和删除</v>
          </cell>
          <cell r="I66" t="str">
            <v>是</v>
          </cell>
          <cell r="J66">
            <v>70</v>
          </cell>
          <cell r="K66">
            <v>64</v>
          </cell>
        </row>
        <row r="67">
          <cell r="G67" t="str">
            <v>数据实例版本管理及回溯</v>
          </cell>
          <cell r="H67" t="str">
            <v>每个数据实例有版本号，可通过版本号查看数据结构和元数据的调整</v>
          </cell>
          <cell r="I67" t="str">
            <v>是</v>
          </cell>
          <cell r="J67">
            <v>71</v>
          </cell>
          <cell r="K67">
            <v>65</v>
          </cell>
        </row>
        <row r="68">
          <cell r="G68" t="str">
            <v>数据实例查询</v>
          </cell>
          <cell r="H68" t="str">
            <v>支持按行业、部门、产品类型、区域等条件查询数据实例</v>
          </cell>
          <cell r="I68" t="str">
            <v>是</v>
          </cell>
          <cell r="J68">
            <v>72</v>
          </cell>
          <cell r="K68">
            <v>66</v>
          </cell>
        </row>
        <row r="69">
          <cell r="G69" t="str">
            <v>事件规则管理</v>
          </cell>
          <cell r="H69" t="str">
            <v>对事件规则进行添加、修改和查询等维护操作</v>
          </cell>
          <cell r="I69" t="str">
            <v>是</v>
          </cell>
          <cell r="J69">
            <v>55</v>
          </cell>
          <cell r="K69">
            <v>67</v>
          </cell>
        </row>
        <row r="70">
          <cell r="G70" t="str">
            <v>清洗规则配置</v>
          </cell>
          <cell r="H70" t="str">
            <v>支持清洗规则新增、修改、禁用、删除</v>
          </cell>
          <cell r="I70" t="str">
            <v>是</v>
          </cell>
          <cell r="J70">
            <v>49</v>
          </cell>
          <cell r="K70">
            <v>68</v>
          </cell>
        </row>
        <row r="71">
          <cell r="G71" t="str">
            <v>感知数据清洗</v>
          </cell>
          <cell r="H71" t="str">
            <v>设备上报数据解析后，根据启用的清洗规则进行数据清洗</v>
          </cell>
          <cell r="I71" t="str">
            <v>是</v>
          </cell>
          <cell r="J71">
            <v>50</v>
          </cell>
          <cell r="K71">
            <v>69</v>
          </cell>
        </row>
        <row r="72">
          <cell r="G72" t="str">
            <v>感知报文存储</v>
          </cell>
          <cell r="H72" t="str">
            <v>清洗成功的数据入库，原报文标为“已入库”；失败的标为“清洗未通过”并备注原因</v>
          </cell>
          <cell r="I72" t="str">
            <v>是</v>
          </cell>
          <cell r="J72">
            <v>51</v>
          </cell>
          <cell r="K72">
            <v>70</v>
          </cell>
        </row>
        <row r="73">
          <cell r="G73" t="str">
            <v>告警列表</v>
          </cell>
          <cell r="H73" t="str">
            <v>设备告警列表界面展示设备的告警信息，可根据项目分组名称、产品名称、设备名称、告警类型筛选查看</v>
          </cell>
          <cell r="I73" t="str">
            <v>是</v>
          </cell>
          <cell r="J73">
            <v>15</v>
          </cell>
          <cell r="K73">
            <v>71</v>
          </cell>
        </row>
        <row r="74">
          <cell r="G74" t="str">
            <v>事件监听</v>
          </cell>
          <cell r="H74" t="str">
            <v>提供实时控制事件监听器的监听状态的能力</v>
          </cell>
          <cell r="I74" t="str">
            <v>是</v>
          </cell>
          <cell r="J74">
            <v>56</v>
          </cell>
          <cell r="K74">
            <v>72</v>
          </cell>
        </row>
        <row r="75">
          <cell r="G75" t="str">
            <v>事件等级管理</v>
          </cell>
          <cell r="H75" t="str">
            <v>提供事件严重等级的增加、更新、删除功能，可输入级别名称、选择严重等级（一般、较大、重大、特别重大）和颜色（红、黄、绿、橙）</v>
          </cell>
          <cell r="I75" t="str">
            <v>是</v>
          </cell>
          <cell r="J75">
            <v>59</v>
          </cell>
          <cell r="K75">
            <v>73</v>
          </cell>
        </row>
        <row r="76">
          <cell r="G76" t="str">
            <v>告警配置</v>
          </cell>
          <cell r="H76" t="str">
            <v>可选择不同设备，根据其功能属性和业务需求配置告警规则，对设备状态进行告警监测</v>
          </cell>
          <cell r="I76" t="str">
            <v>是</v>
          </cell>
          <cell r="J76">
            <v>16</v>
          </cell>
          <cell r="K76">
            <v>74</v>
          </cell>
        </row>
        <row r="77">
          <cell r="G77" t="str">
            <v>事件类型管理</v>
          </cell>
          <cell r="H77" t="str">
            <v>允许用户新增事件类型数据，支持后期对事件类型数据进行维护</v>
          </cell>
          <cell r="I77" t="str">
            <v>是</v>
          </cell>
          <cell r="J77">
            <v>57</v>
          </cell>
          <cell r="K77">
            <v>75</v>
          </cell>
        </row>
        <row r="78">
          <cell r="G78" t="str">
            <v>批量数据维护</v>
          </cell>
          <cell r="H78" t="str">
            <v>用户可通过批量导入、导出等操作，一次性修改或更新多个事件类型的数据</v>
          </cell>
          <cell r="I78" t="str">
            <v>是</v>
          </cell>
          <cell r="J78">
            <v>58</v>
          </cell>
          <cell r="K78">
            <v>76</v>
          </cell>
        </row>
        <row r="79">
          <cell r="G79" t="str">
            <v>事件等级查询</v>
          </cell>
          <cell r="H79" t="str">
            <v>提供条件查询和分页查询功能，可通过输入等级名称、选择严重等级和颜色标记筛选</v>
          </cell>
          <cell r="I79" t="str">
            <v>是</v>
          </cell>
          <cell r="J79">
            <v>60</v>
          </cell>
          <cell r="K79">
            <v>77</v>
          </cell>
        </row>
        <row r="80">
          <cell r="G80" t="str">
            <v>事件通知管理</v>
          </cell>
          <cell r="H80" t="str">
            <v>用户可添加、修改新的事件通知，需指定事件类型、触发条件、通知方式和接收者</v>
          </cell>
          <cell r="I80" t="str">
            <v>是</v>
          </cell>
          <cell r="J80">
            <v>61</v>
          </cell>
          <cell r="K80">
            <v>78</v>
          </cell>
        </row>
        <row r="81">
          <cell r="G81" t="str">
            <v>事件通知查询</v>
          </cell>
          <cell r="H81" t="str">
            <v>用户可通过事件类型、关键字、通知方式等条件筛选搜索已配置的事件通知</v>
          </cell>
          <cell r="I81" t="str">
            <v>是</v>
          </cell>
          <cell r="J81">
            <v>62</v>
          </cell>
          <cell r="K81">
            <v>79</v>
          </cell>
        </row>
        <row r="82">
          <cell r="G82" t="str">
            <v>告警工作流程配置</v>
          </cell>
          <cell r="H82" t="str">
            <v>支持根据不同告警类型，设置告警优先级、时效，提供及时的告警推送方式</v>
          </cell>
          <cell r="I82" t="str">
            <v>是</v>
          </cell>
          <cell r="J82">
            <v>63</v>
          </cell>
          <cell r="K82">
            <v>80</v>
          </cell>
        </row>
        <row r="83">
          <cell r="G83" t="str">
            <v>告警处置</v>
          </cell>
          <cell r="H83" t="str">
            <v>告警产生后，根据事先配置的流程及相关负责部门、第三方应用自动流转</v>
          </cell>
          <cell r="I83" t="str">
            <v>是</v>
          </cell>
          <cell r="J83">
            <v>64</v>
          </cell>
          <cell r="K83">
            <v>81</v>
          </cell>
        </row>
        <row r="84">
          <cell r="G84" t="str">
            <v>感知数据告警</v>
          </cell>
          <cell r="H84" t="str">
            <v>支持感知数据告警规则的新增、禁用、修改、删除</v>
          </cell>
          <cell r="I84" t="str">
            <v>是</v>
          </cell>
          <cell r="J84">
            <v>52</v>
          </cell>
          <cell r="K84">
            <v>82</v>
          </cell>
        </row>
        <row r="85">
          <cell r="G85" t="str">
            <v>设备状态告警</v>
          </cell>
          <cell r="H85" t="str">
            <v>支持设备状态告警规则的新增、禁用、修改、删除</v>
          </cell>
          <cell r="I85" t="str">
            <v>是</v>
          </cell>
          <cell r="J85">
            <v>53</v>
          </cell>
          <cell r="K85">
            <v>83</v>
          </cell>
        </row>
        <row r="86">
          <cell r="G86" t="str">
            <v>设备事件告警</v>
          </cell>
          <cell r="H86" t="str">
            <v>支持设备事件告警规则的新增、禁用、修改、删除</v>
          </cell>
          <cell r="I86" t="str">
            <v>是</v>
          </cell>
          <cell r="J86">
            <v>54</v>
          </cell>
          <cell r="K86">
            <v>84</v>
          </cell>
        </row>
        <row r="87">
          <cell r="G87" t="str">
            <v>设备在/离线
监测</v>
          </cell>
          <cell r="H87" t="str">
            <v>实时监控感知终端的在线、离线状态</v>
          </cell>
          <cell r="I87" t="str">
            <v>是</v>
          </cell>
          <cell r="J87">
            <v>85</v>
          </cell>
          <cell r="K87">
            <v>85</v>
          </cell>
        </row>
        <row r="88">
          <cell r="G88" t="str">
            <v>设备数据异常监测</v>
          </cell>
          <cell r="H88" t="str">
            <v>实时监控设备数据，异常时系统自动告警</v>
          </cell>
          <cell r="I88" t="str">
            <v>是</v>
          </cell>
          <cell r="J88">
            <v>86</v>
          </cell>
          <cell r="K88">
            <v>86</v>
          </cell>
        </row>
        <row r="89">
          <cell r="G89" t="str">
            <v>设备告警异常监测</v>
          </cell>
          <cell r="H89" t="str">
            <v>设备本身异常时，将异常信息上报到平台</v>
          </cell>
          <cell r="I89" t="str">
            <v>是</v>
          </cell>
          <cell r="J89">
            <v>87</v>
          </cell>
          <cell r="K89">
            <v>87</v>
          </cell>
        </row>
        <row r="90">
          <cell r="G90" t="str">
            <v>注册账号</v>
          </cell>
          <cell r="H90" t="str">
            <v>开发者可在平台上自行注册和创建账号</v>
          </cell>
          <cell r="I90" t="str">
            <v>是</v>
          </cell>
          <cell r="J90">
            <v>114</v>
          </cell>
          <cell r="K90">
            <v>88</v>
          </cell>
        </row>
        <row r="91">
          <cell r="G91" t="str">
            <v>创建产品类型</v>
          </cell>
          <cell r="H91" t="str">
            <v>开发者在平台上创建想要对接的产品类型</v>
          </cell>
          <cell r="I91" t="str">
            <v>是</v>
          </cell>
          <cell r="J91">
            <v>115</v>
          </cell>
          <cell r="K91">
            <v>89</v>
          </cell>
        </row>
        <row r="92">
          <cell r="G92" t="str">
            <v>设备信息录入</v>
          </cell>
          <cell r="H92" t="str">
            <v>开发者在平台上录入设备的基本信息，包括设备型号、设备厂家等</v>
          </cell>
          <cell r="I92" t="str">
            <v>是</v>
          </cell>
          <cell r="J92">
            <v>116</v>
          </cell>
          <cell r="K92">
            <v>90</v>
          </cell>
        </row>
        <row r="93">
          <cell r="G93" t="str">
            <v>设备接入</v>
          </cell>
          <cell r="H93" t="str">
            <v>根据标准的接口进行设备接入调用服务</v>
          </cell>
          <cell r="I93" t="str">
            <v>是</v>
          </cell>
          <cell r="J93">
            <v>117</v>
          </cell>
          <cell r="K93">
            <v>91</v>
          </cell>
        </row>
        <row r="94">
          <cell r="G94" t="str">
            <v>设备调试</v>
          </cell>
          <cell r="H94" t="str">
            <v>平台提供在线调试功能，用于设备基本功能的调试</v>
          </cell>
          <cell r="I94" t="str">
            <v>是</v>
          </cell>
          <cell r="J94">
            <v>118</v>
          </cell>
          <cell r="K94">
            <v>92</v>
          </cell>
        </row>
        <row r="95">
          <cell r="G95" t="str">
            <v>数据及设备展示</v>
          </cell>
          <cell r="H95" t="str">
            <v>开发者可以查看设备调试的相关数据和设备接入后的状态等</v>
          </cell>
          <cell r="I95" t="str">
            <v>是</v>
          </cell>
          <cell r="J95">
            <v>119</v>
          </cell>
          <cell r="K95">
            <v>93</v>
          </cell>
        </row>
        <row r="96">
          <cell r="G96" t="str">
            <v>设备权限管理</v>
          </cell>
          <cell r="H96" t="str">
            <v>管理者可根据不同的设备类型查询查看设备的权限</v>
          </cell>
          <cell r="I96" t="str">
            <v>是</v>
          </cell>
          <cell r="J96">
            <v>120</v>
          </cell>
          <cell r="K96">
            <v>94</v>
          </cell>
        </row>
        <row r="97">
          <cell r="G97" t="str">
            <v>数据权限管理</v>
          </cell>
          <cell r="H97" t="str">
            <v>管理者可查看相关设备的数据访问权限</v>
          </cell>
          <cell r="I97" t="str">
            <v>是</v>
          </cell>
          <cell r="J97">
            <v>121</v>
          </cell>
          <cell r="K97">
            <v>95</v>
          </cell>
        </row>
        <row r="98">
          <cell r="G98" t="str">
            <v>设备开放管理</v>
          </cell>
          <cell r="H98" t="str">
            <v>对设备的开放程度进行管理</v>
          </cell>
          <cell r="I98" t="str">
            <v>是</v>
          </cell>
          <cell r="J98">
            <v>122</v>
          </cell>
          <cell r="K98">
            <v>96</v>
          </cell>
        </row>
        <row r="99">
          <cell r="G99" t="str">
            <v>设备使用管理</v>
          </cell>
          <cell r="H99" t="str">
            <v>对设备的使用情况进行管理</v>
          </cell>
          <cell r="I99" t="str">
            <v>是</v>
          </cell>
          <cell r="J99">
            <v>123</v>
          </cell>
          <cell r="K99">
            <v>97</v>
          </cell>
        </row>
        <row r="100">
          <cell r="G100" t="str">
            <v>设备控制管理</v>
          </cell>
          <cell r="H100" t="str">
            <v>对管理的设备控制权限进行管理</v>
          </cell>
          <cell r="I100" t="str">
            <v>是</v>
          </cell>
          <cell r="J100">
            <v>124</v>
          </cell>
          <cell r="K100">
            <v>98</v>
          </cell>
        </row>
        <row r="101">
          <cell r="G101" t="str">
            <v>审批与授权</v>
          </cell>
          <cell r="H101" t="str">
            <v>包括数据和服务目标的审批与授权</v>
          </cell>
          <cell r="I101" t="str">
            <v>是</v>
          </cell>
          <cell r="J101">
            <v>83</v>
          </cell>
          <cell r="K101">
            <v>99</v>
          </cell>
        </row>
        <row r="102">
          <cell r="G102" t="str">
            <v>信息查看</v>
          </cell>
          <cell r="H102" t="str">
            <v>以列表形式查看当前系统的审批授权情况</v>
          </cell>
          <cell r="I102" t="str">
            <v>是</v>
          </cell>
          <cell r="J102">
            <v>84</v>
          </cell>
          <cell r="K102">
            <v>100</v>
          </cell>
        </row>
        <row r="103">
          <cell r="G103" t="str">
            <v>数据上报</v>
          </cell>
          <cell r="H103" t="str">
            <v>提供上报数据至平台的方法</v>
          </cell>
          <cell r="I103" t="str">
            <v>是</v>
          </cell>
          <cell r="J103">
            <v>25</v>
          </cell>
          <cell r="K103">
            <v>101</v>
          </cell>
        </row>
        <row r="104">
          <cell r="G104" t="str">
            <v>下发数据接收</v>
          </cell>
          <cell r="H104" t="str">
            <v>接收平台下发数据的接口类</v>
          </cell>
          <cell r="I104" t="str">
            <v>是</v>
          </cell>
          <cell r="J104">
            <v>126</v>
          </cell>
          <cell r="K104">
            <v>102</v>
          </cell>
        </row>
        <row r="105">
          <cell r="G105" t="str">
            <v>协议解析二次接口</v>
          </cell>
          <cell r="H105" t="str">
            <v>针对感知设备/第三方系统基于TCP/HTTP/MQTT/CoAP等协议接入平台，提供接口类</v>
          </cell>
          <cell r="I105" t="str">
            <v>是</v>
          </cell>
          <cell r="J105">
            <v>127</v>
          </cell>
          <cell r="K105">
            <v>103</v>
          </cell>
        </row>
        <row r="106">
          <cell r="G106" t="str">
            <v>异常告警二次开发接口</v>
          </cell>
          <cell r="H106" t="str">
            <v>支持二次开发者开发异常报警规则和后继处理</v>
          </cell>
          <cell r="I106" t="str">
            <v>是</v>
          </cell>
          <cell r="J106">
            <v>128</v>
          </cell>
          <cell r="K106">
            <v>104</v>
          </cell>
        </row>
        <row r="107">
          <cell r="G107" t="str">
            <v>鉴权连接</v>
          </cell>
          <cell r="H107" t="str">
            <v>验证设备与平台身份，确保合法设备操作平台，在线调试时需身份验证通过方可远程调试</v>
          </cell>
          <cell r="I107" t="str">
            <v>是</v>
          </cell>
          <cell r="J107">
            <v>23</v>
          </cell>
          <cell r="K107">
            <v>105</v>
          </cell>
        </row>
        <row r="108">
          <cell r="G108" t="str">
            <v>数据应用登记</v>
          </cell>
          <cell r="H108" t="str">
            <v>面向数据应用方，登记时需填写单位信息、联系人信息、数据用途等</v>
          </cell>
          <cell r="I108" t="str">
            <v>是</v>
          </cell>
          <cell r="J108">
            <v>82</v>
          </cell>
          <cell r="K108">
            <v>106</v>
          </cell>
        </row>
        <row r="109">
          <cell r="G109" t="str">
            <v>平台信息管理</v>
          </cell>
          <cell r="H109" t="str">
            <v>对第三方平台信息进行结构化、分类管理，包括服务商联系方式、服务类型、范围、内容等</v>
          </cell>
          <cell r="I109" t="str">
            <v>是</v>
          </cell>
          <cell r="J109">
            <v>35</v>
          </cell>
          <cell r="K109">
            <v>107</v>
          </cell>
        </row>
        <row r="110">
          <cell r="G110" t="str">
            <v>接口监控</v>
          </cell>
          <cell r="H110" t="str">
            <v>对接口运行状态实时监控，及时发现并解决问题</v>
          </cell>
          <cell r="I110" t="str">
            <v>是</v>
          </cell>
          <cell r="J110">
            <v>36</v>
          </cell>
          <cell r="K110">
            <v>108</v>
          </cell>
        </row>
        <row r="111">
          <cell r="G111" t="str">
            <v>接口权限控制</v>
          </cell>
          <cell r="H111" t="str">
            <v>对接口进行权限管理，确保仅授权用户访问，保障数据安全</v>
          </cell>
          <cell r="I111" t="str">
            <v>是</v>
          </cell>
          <cell r="J111">
            <v>37</v>
          </cell>
          <cell r="K111">
            <v>109</v>
          </cell>
        </row>
        <row r="112">
          <cell r="G112" t="str">
            <v>接口版本管理</v>
          </cell>
          <cell r="H112" t="str">
            <v>针对不同版本接口进行管理控制，确保数据兼容性和稳定性</v>
          </cell>
          <cell r="I112" t="str">
            <v>是</v>
          </cell>
          <cell r="J112">
            <v>38</v>
          </cell>
          <cell r="K112">
            <v>110</v>
          </cell>
        </row>
        <row r="113">
          <cell r="G113" t="str">
            <v>接口性能优化</v>
          </cell>
          <cell r="H113" t="str">
            <v>对接口进行性能测试和优化，提高处理速度和稳定性，保障系统高效运行</v>
          </cell>
          <cell r="I113" t="str">
            <v>是</v>
          </cell>
          <cell r="J113">
            <v>39</v>
          </cell>
          <cell r="K113">
            <v>111</v>
          </cell>
        </row>
        <row r="114">
          <cell r="G114" t="str">
            <v>接口日志记录</v>
          </cell>
          <cell r="H114" t="str">
            <v>记录接口调用情况，方便问题分析跟踪，及时发现解决问题</v>
          </cell>
          <cell r="I114" t="str">
            <v>是</v>
          </cell>
          <cell r="J114">
            <v>40</v>
          </cell>
          <cell r="K114">
            <v>112</v>
          </cell>
        </row>
        <row r="115">
          <cell r="G115" t="str">
            <v>平台入网注册</v>
          </cell>
          <cell r="H115" t="str">
            <v>需申请用户账号，登记第三方IoT平台信息和安全验证信息，注册成功生成标识ID</v>
          </cell>
          <cell r="I115" t="str">
            <v>是</v>
          </cell>
          <cell r="J115">
            <v>41</v>
          </cell>
          <cell r="K115">
            <v>113</v>
          </cell>
        </row>
        <row r="116">
          <cell r="G116" t="str">
            <v>平台接入认证</v>
          </cell>
          <cell r="H116" t="str">
            <v>通过平台安全认证接口，实现平台间安全连接</v>
          </cell>
          <cell r="I116" t="str">
            <v>是</v>
          </cell>
          <cell r="J116">
            <v>42</v>
          </cell>
          <cell r="K116">
            <v>114</v>
          </cell>
        </row>
        <row r="117">
          <cell r="G117" t="str">
            <v>平台设备清单接入</v>
          </cell>
          <cell r="H117" t="str">
            <v>通过平台设备查询接口，获取第三方可接入设备清单</v>
          </cell>
          <cell r="I117" t="str">
            <v>是</v>
          </cell>
          <cell r="J117">
            <v>43</v>
          </cell>
          <cell r="K117">
            <v>115</v>
          </cell>
        </row>
        <row r="118">
          <cell r="G118" t="str">
            <v>平台设备能力接入</v>
          </cell>
          <cell r="H118" t="str">
            <v>根据第三方系统提供的设备清单，获取设备的能力与属性</v>
          </cell>
          <cell r="I118" t="str">
            <v>是</v>
          </cell>
          <cell r="J118">
            <v>44</v>
          </cell>
          <cell r="K118">
            <v>116</v>
          </cell>
        </row>
        <row r="119">
          <cell r="G119" t="str">
            <v>平台设备状态接入</v>
          </cell>
          <cell r="H119" t="str">
            <v>根据第三方系统提供的设备清单，获取设备的状态</v>
          </cell>
          <cell r="I119" t="str">
            <v>是</v>
          </cell>
          <cell r="J119">
            <v>45</v>
          </cell>
          <cell r="K119">
            <v>117</v>
          </cell>
        </row>
        <row r="120">
          <cell r="G120" t="str">
            <v>平台数据接入</v>
          </cell>
          <cell r="H120" t="str">
            <v>通过第三方系统设备数据订阅接口获取设备数据</v>
          </cell>
          <cell r="I120" t="str">
            <v>是</v>
          </cell>
          <cell r="J120">
            <v>46</v>
          </cell>
          <cell r="K120">
            <v>118</v>
          </cell>
        </row>
        <row r="121">
          <cell r="G121" t="str">
            <v>接口配置</v>
          </cell>
          <cell r="H121" t="str">
            <v>对与第三方系统的接口进行配置管理</v>
          </cell>
          <cell r="I121" t="str">
            <v>是</v>
          </cell>
          <cell r="J121">
            <v>104</v>
          </cell>
          <cell r="K121">
            <v>119</v>
          </cell>
        </row>
        <row r="122">
          <cell r="G122" t="str">
            <v>设备鉴权</v>
          </cell>
          <cell r="H122" t="str">
            <v>通过平台获取控制设备的一系列操作权限</v>
          </cell>
          <cell r="I122" t="str">
            <v>是</v>
          </cell>
          <cell r="J122">
            <v>105</v>
          </cell>
          <cell r="K122">
            <v>120</v>
          </cell>
        </row>
        <row r="123">
          <cell r="G123" t="str">
            <v>平台控制设备路径</v>
          </cell>
          <cell r="H123" t="str">
            <v>从设备列表中选取控制设备</v>
          </cell>
          <cell r="I123" t="str">
            <v>是</v>
          </cell>
          <cell r="J123">
            <v>106</v>
          </cell>
          <cell r="K123">
            <v>121</v>
          </cell>
        </row>
        <row r="124">
          <cell r="G124" t="str">
            <v>第三方系统控制设备路径</v>
          </cell>
          <cell r="H124" t="str">
            <v>第三方应用获取控制设备路径</v>
          </cell>
          <cell r="I124" t="str">
            <v>是</v>
          </cell>
          <cell r="J124">
            <v>107</v>
          </cell>
          <cell r="K124">
            <v>122</v>
          </cell>
        </row>
        <row r="125">
          <cell r="G125" t="str">
            <v>平台状态获取</v>
          </cell>
          <cell r="H125" t="str">
            <v>从设备列表中获取设备在线状态</v>
          </cell>
          <cell r="I125" t="str">
            <v>是</v>
          </cell>
          <cell r="J125">
            <v>108</v>
          </cell>
          <cell r="K125">
            <v>123</v>
          </cell>
        </row>
        <row r="126">
          <cell r="G126" t="str">
            <v>第三方系统状态获取</v>
          </cell>
          <cell r="H126" t="str">
            <v>第三方应用获取控制设备在线状态</v>
          </cell>
          <cell r="I126" t="str">
            <v>是</v>
          </cell>
          <cell r="J126">
            <v>109</v>
          </cell>
          <cell r="K126">
            <v>124</v>
          </cell>
        </row>
        <row r="127">
          <cell r="G127" t="str">
            <v>平台命令控制</v>
          </cell>
          <cell r="H127" t="str">
            <v>从设备列表中选择设备详情，进入在线调试，下发控制命令</v>
          </cell>
          <cell r="I127" t="str">
            <v>是</v>
          </cell>
          <cell r="J127">
            <v>110</v>
          </cell>
          <cell r="K127">
            <v>125</v>
          </cell>
        </row>
        <row r="128">
          <cell r="G128" t="str">
            <v>第三方系统命令控制</v>
          </cell>
          <cell r="H128" t="str">
            <v>第三方应用下发控制设备命令</v>
          </cell>
          <cell r="I128" t="str">
            <v>是</v>
          </cell>
          <cell r="J128">
            <v>111</v>
          </cell>
          <cell r="K128">
            <v>126</v>
          </cell>
        </row>
        <row r="129">
          <cell r="G129" t="str">
            <v>平台命令反馈</v>
          </cell>
          <cell r="H129" t="str">
            <v>通过在线调试、设备历史数据、设备日志查看设备命令反馈</v>
          </cell>
          <cell r="I129" t="str">
            <v>是</v>
          </cell>
          <cell r="J129">
            <v>112</v>
          </cell>
          <cell r="K129">
            <v>127</v>
          </cell>
        </row>
        <row r="130">
          <cell r="G130" t="str">
            <v>第三方系统命令反馈</v>
          </cell>
          <cell r="H130" t="str">
            <v>第三方应用控制设备命令反馈</v>
          </cell>
          <cell r="I130" t="str">
            <v>是</v>
          </cell>
          <cell r="J130">
            <v>113</v>
          </cell>
          <cell r="K130">
            <v>128</v>
          </cell>
        </row>
        <row r="131">
          <cell r="G131" t="str">
            <v>数据访问量统计分析</v>
          </cell>
          <cell r="H131" t="str">
            <v>统计某类数据目录的访问第三方应用、次数、数据包大小及趋势</v>
          </cell>
          <cell r="I131" t="str">
            <v>是</v>
          </cell>
          <cell r="J131">
            <v>75</v>
          </cell>
          <cell r="K131">
            <v>129</v>
          </cell>
        </row>
        <row r="132">
          <cell r="G132" t="str">
            <v>服务目录管理</v>
          </cell>
          <cell r="H132" t="str">
            <v>将已有数据资源按不同应用场景，以第三方应用需求为牵引发布服务接口</v>
          </cell>
          <cell r="I132" t="str">
            <v>是</v>
          </cell>
          <cell r="J132">
            <v>80</v>
          </cell>
          <cell r="K132">
            <v>130</v>
          </cell>
        </row>
        <row r="133">
          <cell r="G133" t="str">
            <v>数据共享调用</v>
          </cell>
          <cell r="H133" t="str">
            <v>审批通过后，应用使用Appkey/Secret访问服务接口并获取数据</v>
          </cell>
          <cell r="I133" t="str">
            <v>是</v>
          </cell>
          <cell r="J133">
            <v>134</v>
          </cell>
          <cell r="K133">
            <v>131</v>
          </cell>
        </row>
        <row r="134">
          <cell r="G134" t="str">
            <v>单设备数据共享</v>
          </cell>
          <cell r="H134" t="str">
            <v>支持对单个设备进行数据共享</v>
          </cell>
          <cell r="I134" t="str">
            <v>是</v>
          </cell>
          <cell r="J134">
            <v>135</v>
          </cell>
          <cell r="K134">
            <v>132</v>
          </cell>
        </row>
        <row r="135">
          <cell r="G135" t="str">
            <v>批量设备数据共享</v>
          </cell>
          <cell r="H135" t="str">
            <v>支持对批量同类设备进行数据共享</v>
          </cell>
          <cell r="I135" t="str">
            <v>是</v>
          </cell>
          <cell r="J135">
            <v>136</v>
          </cell>
          <cell r="K135">
            <v>133</v>
          </cell>
        </row>
        <row r="136">
          <cell r="G136" t="str">
            <v>业务告警数据共享</v>
          </cell>
          <cell r="H136" t="str">
            <v>支持对业务告警数据进行数据共享</v>
          </cell>
          <cell r="I136" t="str">
            <v>是</v>
          </cell>
          <cell r="J136">
            <v>137</v>
          </cell>
          <cell r="K136">
            <v>134</v>
          </cell>
        </row>
        <row r="137">
          <cell r="G137" t="str">
            <v>设备异常数据共享</v>
          </cell>
          <cell r="H137" t="str">
            <v>支持对设备异常数据进行数据共享</v>
          </cell>
          <cell r="I137" t="str">
            <v>是</v>
          </cell>
          <cell r="J137">
            <v>138</v>
          </cell>
          <cell r="K137">
            <v>135</v>
          </cell>
        </row>
        <row r="138">
          <cell r="G138" t="str">
            <v>统计数据共享</v>
          </cell>
          <cell r="H138" t="str">
            <v>根据不同的数据共享类型进行多维度统计</v>
          </cell>
          <cell r="I138" t="str">
            <v>是</v>
          </cell>
          <cell r="J138">
            <v>139</v>
          </cell>
          <cell r="K138">
            <v>136</v>
          </cell>
        </row>
        <row r="139">
          <cell r="G139" t="str">
            <v>趋势分析数据共享</v>
          </cell>
          <cell r="H139" t="str">
            <v>对历史的共享数据进行统计分析，形成趋势分析</v>
          </cell>
          <cell r="I139" t="str">
            <v>是</v>
          </cell>
          <cell r="J139">
            <v>140</v>
          </cell>
          <cell r="K139">
            <v>137</v>
          </cell>
        </row>
        <row r="140">
          <cell r="G140" t="str">
            <v>目录发布</v>
          </cell>
          <cell r="H140" t="str">
            <v>平台将数据发布成服务，形成服务目录</v>
          </cell>
          <cell r="I140" t="str">
            <v>是</v>
          </cell>
          <cell r="J140">
            <v>129</v>
          </cell>
          <cell r="K140">
            <v>138</v>
          </cell>
        </row>
        <row r="141">
          <cell r="G141" t="str">
            <v>开发者注册</v>
          </cell>
          <cell r="H141" t="str">
            <v>应用开发者在平台注册账号，通过开发者门户配置应用登记需求</v>
          </cell>
          <cell r="I141" t="str">
            <v>是</v>
          </cell>
          <cell r="J141">
            <v>130</v>
          </cell>
          <cell r="K141">
            <v>139</v>
          </cell>
        </row>
        <row r="142">
          <cell r="G142" t="str">
            <v>应用注册</v>
          </cell>
          <cell r="H142" t="str">
            <v>开发者在平台上注册应用，平台分配用于身份认证的Appkey/Secret</v>
          </cell>
          <cell r="I142" t="str">
            <v>是</v>
          </cell>
          <cell r="J142">
            <v>131</v>
          </cell>
          <cell r="K142">
            <v>140</v>
          </cell>
        </row>
        <row r="143">
          <cell r="G143" t="str">
            <v>需求登记</v>
          </cell>
          <cell r="H143" t="str">
            <v>应用开发者为每个应用登记数据需求、服务需求；设备所有者可获设备所有数据</v>
          </cell>
          <cell r="I143" t="str">
            <v>是</v>
          </cell>
          <cell r="J143">
            <v>132</v>
          </cell>
          <cell r="K143">
            <v>141</v>
          </cell>
        </row>
        <row r="144">
          <cell r="G144" t="str">
            <v>审批授权</v>
          </cell>
          <cell r="H144" t="str">
            <v>由数据所有方完成数据审批与授权，指定可共享的设备清单及数据属性</v>
          </cell>
          <cell r="I144" t="str">
            <v>是</v>
          </cell>
          <cell r="J144">
            <v>133</v>
          </cell>
          <cell r="K144">
            <v>142</v>
          </cell>
        </row>
        <row r="145">
          <cell r="G145" t="str">
            <v>直接共享</v>
          </cell>
          <cell r="H145" t="str">
            <v>直接向应用系统提供视频监控系统流地址</v>
          </cell>
          <cell r="I145" t="str">
            <v>是</v>
          </cell>
          <cell r="J145">
            <v>141</v>
          </cell>
          <cell r="K145">
            <v>143</v>
          </cell>
        </row>
        <row r="146">
          <cell r="G146" t="str">
            <v>代理共享</v>
          </cell>
          <cell r="H146" t="str">
            <v>向应用系统提供平台的代理流地址</v>
          </cell>
          <cell r="I146" t="str">
            <v>是</v>
          </cell>
          <cell r="J146">
            <v>142</v>
          </cell>
          <cell r="K146">
            <v>144</v>
          </cell>
        </row>
        <row r="147">
          <cell r="G147" t="str">
            <v>设备应用登记</v>
          </cell>
          <cell r="H147" t="str">
            <v>面向设备所有方，可根据所有权直接登记设备产生的所有数据</v>
          </cell>
          <cell r="I147" t="str">
            <v>是</v>
          </cell>
          <cell r="J147">
            <v>81</v>
          </cell>
          <cell r="K147">
            <v>145</v>
          </cell>
        </row>
        <row r="148">
          <cell r="G148" t="str">
            <v>算法管理</v>
          </cell>
          <cell r="H148" t="str">
            <v>提供对算法的集中存储和管理，包括添加、编辑、删除算法的功能</v>
          </cell>
          <cell r="I148" t="str">
            <v>是</v>
          </cell>
          <cell r="J148">
            <v>146</v>
          </cell>
          <cell r="K148">
            <v>146</v>
          </cell>
        </row>
        <row r="149">
          <cell r="G149" t="str">
            <v>版本管理</v>
          </cell>
          <cell r="H149" t="str">
            <v>提供对算法的版本进行管理</v>
          </cell>
          <cell r="I149" t="str">
            <v>是</v>
          </cell>
          <cell r="J149">
            <v>147</v>
          </cell>
          <cell r="K149">
            <v>147</v>
          </cell>
        </row>
        <row r="150">
          <cell r="G150" t="str">
            <v>算法分类管理</v>
          </cell>
          <cell r="H150" t="str">
            <v>算法可以基于不同的维度分类，也可以自己创新分类</v>
          </cell>
          <cell r="I150" t="str">
            <v>是</v>
          </cell>
          <cell r="J150">
            <v>148</v>
          </cell>
          <cell r="K150">
            <v>148</v>
          </cell>
        </row>
        <row r="151">
          <cell r="G151" t="str">
            <v>标签化管理</v>
          </cell>
          <cell r="H151" t="str">
            <v>对训练和使用的算法模型进行标签化和管理</v>
          </cell>
          <cell r="I151" t="str">
            <v>是</v>
          </cell>
          <cell r="J151">
            <v>149</v>
          </cell>
          <cell r="K151">
            <v>149</v>
          </cell>
        </row>
        <row r="152">
          <cell r="G152" t="str">
            <v>在线环境</v>
          </cell>
          <cell r="H152" t="str">
            <v>提供在线的算法运行环境，用户可以通过网页或平台直接上传算法代码并运行</v>
          </cell>
          <cell r="I152" t="str">
            <v>是</v>
          </cell>
          <cell r="J152">
            <v>150</v>
          </cell>
          <cell r="K152">
            <v>150</v>
          </cell>
        </row>
        <row r="153">
          <cell r="G153" t="str">
            <v>集成开发环境</v>
          </cell>
          <cell r="H153" t="str">
            <v>提供专门的集成开发环境，包括代码编写、调试和运行等功能</v>
          </cell>
          <cell r="I153" t="str">
            <v>是</v>
          </cell>
          <cell r="J153">
            <v>151</v>
          </cell>
          <cell r="K153">
            <v>151</v>
          </cell>
        </row>
        <row r="154">
          <cell r="G154" t="str">
            <v>调试工具</v>
          </cell>
          <cell r="H154" t="str">
            <v>算法调试工具提供一系列功能来帮助用户定位和解决算法中的错误</v>
          </cell>
          <cell r="I154" t="str">
            <v>是</v>
          </cell>
          <cell r="J154">
            <v>152</v>
          </cell>
          <cell r="K154">
            <v>152</v>
          </cell>
        </row>
        <row r="155">
          <cell r="G155" t="str">
            <v>数据集测试</v>
          </cell>
          <cell r="H155" t="str">
            <v>为了验证算法在真实场景下的性能，用户可以使用事先准备好的数据集进行测试</v>
          </cell>
          <cell r="I155" t="str">
            <v>是</v>
          </cell>
          <cell r="J155">
            <v>153</v>
          </cell>
          <cell r="K155">
            <v>153</v>
          </cell>
        </row>
        <row r="156">
          <cell r="G156" t="str">
            <v>用户管理</v>
          </cell>
          <cell r="H156" t="str">
            <v>支持对各类用户信息进行创建</v>
          </cell>
          <cell r="I156" t="str">
            <v>是</v>
          </cell>
          <cell r="J156">
            <v>154</v>
          </cell>
          <cell r="K156">
            <v>154</v>
          </cell>
        </row>
        <row r="157">
          <cell r="G157" t="str">
            <v>角色管理</v>
          </cell>
          <cell r="H157" t="str">
            <v>支持对角色进行定义和授权</v>
          </cell>
          <cell r="I157" t="str">
            <v>是</v>
          </cell>
          <cell r="J157">
            <v>155</v>
          </cell>
          <cell r="K157">
            <v>155</v>
          </cell>
        </row>
        <row r="158">
          <cell r="G158" t="str">
            <v>组织管理</v>
          </cell>
          <cell r="H158" t="str">
            <v>支持对部门、团队等组织进行管理</v>
          </cell>
          <cell r="I158" t="str">
            <v>是</v>
          </cell>
          <cell r="J158">
            <v>156</v>
          </cell>
          <cell r="K158">
            <v>156</v>
          </cell>
        </row>
        <row r="159">
          <cell r="G159" t="str">
            <v>权限管理</v>
          </cell>
          <cell r="H159" t="str">
            <v>支持对各类角色的权限进行配置定义</v>
          </cell>
          <cell r="I159" t="str">
            <v>是</v>
          </cell>
          <cell r="J159">
            <v>157</v>
          </cell>
          <cell r="K159">
            <v>157</v>
          </cell>
        </row>
        <row r="160">
          <cell r="G160" t="str">
            <v>算法部署与集成</v>
          </cell>
          <cell r="H160" t="str">
            <v>算法部署可以通过提供API接口来实现</v>
          </cell>
          <cell r="I160" t="str">
            <v>是</v>
          </cell>
          <cell r="J160">
            <v>158</v>
          </cell>
          <cell r="K160">
            <v>158</v>
          </cell>
        </row>
        <row r="161">
          <cell r="G161" t="str">
            <v>目标跟踪检测算法</v>
          </cell>
          <cell r="H161" t="str">
            <v>目标跟踪算法是一种计算机视觉算法，旨在从连续视频序列中实时定位和追踪特定目标的位置和运动。</v>
          </cell>
          <cell r="I161" t="str">
            <v>是</v>
          </cell>
          <cell r="J161">
            <v>159</v>
          </cell>
          <cell r="K161">
            <v>159</v>
          </cell>
        </row>
        <row r="162">
          <cell r="G162" t="str">
            <v>事件检测算法</v>
          </cell>
          <cell r="H162" t="str">
            <v>
事件检测算法是一种利用机器学习和数据挖掘技术，从大规模数据中识别和提取特定类型的事件的方法。</v>
          </cell>
          <cell r="I162" t="str">
            <v>是</v>
          </cell>
          <cell r="J162">
            <v>160</v>
          </cell>
          <cell r="K162">
            <v>160</v>
          </cell>
        </row>
        <row r="163">
          <cell r="G163" t="str">
            <v>行为分析算法</v>
          </cell>
          <cell r="H163" t="str">
            <v>行为分析算法是一种利用机器学习和模式识别技术，对个体或群体的行为进行自动化分析和建模的方法</v>
          </cell>
          <cell r="I163" t="str">
            <v>是</v>
          </cell>
          <cell r="J163">
            <v>161</v>
          </cell>
          <cell r="K163">
            <v>161</v>
          </cell>
        </row>
        <row r="164">
          <cell r="G164" t="str">
            <v>人员闯禁行算法</v>
          </cell>
          <cell r="H164" t="str">
            <v>人员闯禁行算法是指利用监控设备、传感器和机器学习技术来检测和识别非授权人员进入受限区域的行为</v>
          </cell>
          <cell r="I164" t="str">
            <v>是</v>
          </cell>
          <cell r="J164">
            <v>162</v>
          </cell>
          <cell r="K164">
            <v>162</v>
          </cell>
        </row>
        <row r="165">
          <cell r="G165" t="str">
            <v>视频质量诊断算法</v>
          </cell>
          <cell r="H165" t="str">
            <v>视频质量诊断算法是一种用于评估和检测视频质量问题</v>
          </cell>
          <cell r="I165" t="str">
            <v>是</v>
          </cell>
          <cell r="J165">
            <v>163</v>
          </cell>
          <cell r="K165">
            <v>163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146"/>
  <sheetViews>
    <sheetView tabSelected="1" zoomScale="115" zoomScaleNormal="115" workbookViewId="0">
      <selection activeCell="G14" sqref="G14"/>
    </sheetView>
  </sheetViews>
  <sheetFormatPr defaultColWidth="9" defaultRowHeight="16.8"/>
  <cols>
    <col min="1" max="1" width="17.2307692307692" style="1" customWidth="1"/>
    <col min="2" max="2" width="11.7019230769231" style="1" customWidth="1"/>
    <col min="3" max="6" width="17.2307692307692" style="1" customWidth="1"/>
    <col min="7" max="8" width="30.7692307692308" style="1" customWidth="1"/>
    <col min="9" max="9" width="56" style="2" customWidth="1"/>
    <col min="10" max="10" width="16.2019230769231" style="1" customWidth="1"/>
    <col min="11" max="11" width="18" style="3" customWidth="1"/>
    <col min="12" max="16384" width="9" style="1"/>
  </cols>
  <sheetData>
    <row r="1" ht="21" spans="1:11">
      <c r="A1" s="4" t="s">
        <v>0</v>
      </c>
      <c r="B1" s="4" t="s">
        <v>1</v>
      </c>
      <c r="C1" s="4" t="s">
        <v>2</v>
      </c>
      <c r="D1" s="4" t="s">
        <v>3</v>
      </c>
      <c r="E1" s="5" t="s">
        <v>4</v>
      </c>
      <c r="F1" s="5"/>
      <c r="G1" s="6" t="s">
        <v>5</v>
      </c>
      <c r="H1" s="6"/>
      <c r="I1" s="7" t="s">
        <v>6</v>
      </c>
      <c r="J1" s="1" t="s">
        <v>7</v>
      </c>
      <c r="K1" s="8" t="s">
        <v>8</v>
      </c>
    </row>
    <row r="2" ht="34" hidden="1" spans="1:11">
      <c r="A2" s="9">
        <v>1</v>
      </c>
      <c r="B2" s="4"/>
      <c r="C2" s="10" t="s">
        <v>9</v>
      </c>
      <c r="D2" s="11" t="s">
        <v>10</v>
      </c>
      <c r="E2" s="12" t="s">
        <v>11</v>
      </c>
      <c r="F2" s="12"/>
      <c r="G2" s="12" t="s">
        <v>11</v>
      </c>
      <c r="H2" s="12"/>
      <c r="I2" s="13" t="s">
        <v>12</v>
      </c>
      <c r="J2" s="1">
        <f>VLOOKUP(G2,[1]Sheet1!$G:$K,5,FALSE)</f>
        <v>1</v>
      </c>
      <c r="K2" s="14" t="s">
        <v>13</v>
      </c>
    </row>
    <row r="3" ht="34" hidden="1" spans="1:11">
      <c r="A3" s="9">
        <v>2</v>
      </c>
      <c r="B3" s="4"/>
      <c r="C3" s="15"/>
      <c r="D3" s="16"/>
      <c r="E3" s="12" t="s">
        <v>14</v>
      </c>
      <c r="F3" s="12"/>
      <c r="G3" s="12" t="s">
        <v>14</v>
      </c>
      <c r="H3" s="12"/>
      <c r="I3" s="13" t="s">
        <v>15</v>
      </c>
      <c r="J3" s="1">
        <f>VLOOKUP(G3,[1]Sheet1!$G:$K,5,FALSE)</f>
        <v>2</v>
      </c>
      <c r="K3" s="14" t="s">
        <v>13</v>
      </c>
    </row>
    <row r="4" ht="34" hidden="1" spans="1:11">
      <c r="A4" s="9">
        <v>3</v>
      </c>
      <c r="B4" s="4"/>
      <c r="C4" s="15"/>
      <c r="D4" s="16"/>
      <c r="E4" s="12" t="s">
        <v>16</v>
      </c>
      <c r="F4" s="12"/>
      <c r="G4" s="12" t="s">
        <v>16</v>
      </c>
      <c r="H4" s="12"/>
      <c r="I4" s="13" t="s">
        <v>17</v>
      </c>
      <c r="J4" s="1">
        <f>VLOOKUP(G4,[1]Sheet1!$G:$K,5,FALSE)</f>
        <v>3</v>
      </c>
      <c r="K4" s="14" t="s">
        <v>13</v>
      </c>
    </row>
    <row r="5" ht="34" hidden="1" spans="1:11">
      <c r="A5" s="9">
        <v>4</v>
      </c>
      <c r="B5" s="4"/>
      <c r="C5" s="15"/>
      <c r="D5" s="16"/>
      <c r="E5" s="12" t="s">
        <v>18</v>
      </c>
      <c r="F5" s="12"/>
      <c r="G5" s="12" t="s">
        <v>18</v>
      </c>
      <c r="H5" s="12"/>
      <c r="I5" s="13" t="s">
        <v>19</v>
      </c>
      <c r="J5" s="1">
        <f>VLOOKUP(G5,[1]Sheet1!$G:$K,5,FALSE)</f>
        <v>4</v>
      </c>
      <c r="K5" s="14" t="s">
        <v>13</v>
      </c>
    </row>
    <row r="6" ht="17" hidden="1" spans="1:11">
      <c r="A6" s="9">
        <v>5</v>
      </c>
      <c r="B6" s="4"/>
      <c r="C6" s="15"/>
      <c r="D6" s="17"/>
      <c r="E6" s="12" t="s">
        <v>20</v>
      </c>
      <c r="F6" s="12"/>
      <c r="G6" s="12" t="s">
        <v>20</v>
      </c>
      <c r="H6" s="12"/>
      <c r="I6" s="13" t="s">
        <v>21</v>
      </c>
      <c r="J6" s="1">
        <f>VLOOKUP(G6,[1]Sheet1!$G:$K,5,FALSE)</f>
        <v>5</v>
      </c>
      <c r="K6" s="14" t="s">
        <v>13</v>
      </c>
    </row>
    <row r="7" ht="75" hidden="1" customHeight="1" spans="1:11">
      <c r="A7" s="9">
        <v>6</v>
      </c>
      <c r="B7" s="4"/>
      <c r="C7" s="15"/>
      <c r="D7" s="11" t="s">
        <v>22</v>
      </c>
      <c r="E7" s="9" t="s">
        <v>23</v>
      </c>
      <c r="F7" s="9"/>
      <c r="G7" s="9" t="s">
        <v>23</v>
      </c>
      <c r="H7" s="9"/>
      <c r="I7" s="18" t="s">
        <v>24</v>
      </c>
      <c r="J7" s="1">
        <f>VLOOKUP(G7,[1]Sheet1!$G:$K,5,FALSE)</f>
        <v>6</v>
      </c>
      <c r="K7" s="14"/>
    </row>
    <row r="8" ht="17" hidden="1" spans="1:11">
      <c r="A8" s="9">
        <v>7</v>
      </c>
      <c r="B8" s="4"/>
      <c r="C8" s="15"/>
      <c r="D8" s="16"/>
      <c r="E8" s="19" t="s">
        <v>25</v>
      </c>
      <c r="F8" s="20"/>
      <c r="G8" s="21" t="s">
        <v>25</v>
      </c>
      <c r="H8" s="21"/>
      <c r="I8" s="18" t="s">
        <v>26</v>
      </c>
      <c r="J8" s="1">
        <f>VLOOKUP(G8,[1]Sheet1!$G:$K,5,FALSE)</f>
        <v>48</v>
      </c>
      <c r="K8" s="14"/>
    </row>
    <row r="9" ht="17" spans="1:11">
      <c r="A9" s="9">
        <v>8</v>
      </c>
      <c r="B9" s="4"/>
      <c r="C9" s="15"/>
      <c r="D9" s="11" t="s">
        <v>27</v>
      </c>
      <c r="E9" s="22" t="s">
        <v>28</v>
      </c>
      <c r="F9" s="22"/>
      <c r="G9" s="22" t="s">
        <v>28</v>
      </c>
      <c r="H9" s="22" t="s">
        <v>29</v>
      </c>
      <c r="I9" s="23" t="s">
        <v>30</v>
      </c>
      <c r="J9" s="1">
        <f>VLOOKUP(G9,[1]Sheet1!$G:$K,5,FALSE)</f>
        <v>14</v>
      </c>
      <c r="K9" s="14" t="s">
        <v>31</v>
      </c>
    </row>
    <row r="10" ht="50" customHeight="1" spans="1:11">
      <c r="A10" s="9">
        <v>9</v>
      </c>
      <c r="B10" s="4"/>
      <c r="C10" s="15"/>
      <c r="D10" s="16"/>
      <c r="E10" s="22" t="s">
        <v>32</v>
      </c>
      <c r="F10" s="22"/>
      <c r="G10" s="22" t="s">
        <v>32</v>
      </c>
      <c r="H10" s="22" t="s">
        <v>33</v>
      </c>
      <c r="I10" s="23" t="s">
        <v>34</v>
      </c>
      <c r="J10" s="1">
        <f>VLOOKUP(G10,[1]Sheet1!$G:$K,5,FALSE)</f>
        <v>15</v>
      </c>
      <c r="K10" s="14" t="s">
        <v>31</v>
      </c>
    </row>
    <row r="11" ht="17" spans="1:11">
      <c r="A11" s="9">
        <v>10</v>
      </c>
      <c r="B11" s="4"/>
      <c r="C11" s="15"/>
      <c r="D11" s="16"/>
      <c r="E11" s="22" t="s">
        <v>35</v>
      </c>
      <c r="F11" s="22"/>
      <c r="G11" s="22" t="s">
        <v>35</v>
      </c>
      <c r="H11" s="22" t="s">
        <v>36</v>
      </c>
      <c r="I11" s="23" t="s">
        <v>37</v>
      </c>
      <c r="J11" s="1">
        <f>VLOOKUP(G11,[1]Sheet1!$G:$K,5,FALSE)</f>
        <v>16</v>
      </c>
      <c r="K11" s="14" t="s">
        <v>31</v>
      </c>
    </row>
    <row r="12" ht="34" spans="1:11">
      <c r="A12" s="9">
        <v>11</v>
      </c>
      <c r="B12" s="4"/>
      <c r="C12" s="15"/>
      <c r="D12" s="17"/>
      <c r="E12" s="22" t="s">
        <v>38</v>
      </c>
      <c r="F12" s="22"/>
      <c r="G12" s="22" t="s">
        <v>38</v>
      </c>
      <c r="H12" s="22" t="s">
        <v>29</v>
      </c>
      <c r="I12" s="23" t="s">
        <v>39</v>
      </c>
      <c r="J12" s="1">
        <f>VLOOKUP(G12,[1]Sheet1!$G:$K,5,FALSE)</f>
        <v>20</v>
      </c>
      <c r="K12" s="14" t="s">
        <v>31</v>
      </c>
    </row>
    <row r="13" ht="34" spans="1:11">
      <c r="A13" s="9">
        <v>12</v>
      </c>
      <c r="B13" s="4"/>
      <c r="C13" s="15"/>
      <c r="D13" s="24" t="s">
        <v>40</v>
      </c>
      <c r="E13" s="22" t="s">
        <v>41</v>
      </c>
      <c r="F13" s="22"/>
      <c r="G13" s="22" t="s">
        <v>41</v>
      </c>
      <c r="H13" s="22" t="s">
        <v>42</v>
      </c>
      <c r="I13" s="23" t="s">
        <v>43</v>
      </c>
      <c r="J13" s="1">
        <f>VLOOKUP(G13,[1]Sheet1!$G:$K,5,FALSE)</f>
        <v>17</v>
      </c>
      <c r="K13" s="14" t="s">
        <v>31</v>
      </c>
    </row>
    <row r="14" ht="48" customHeight="1" spans="1:11">
      <c r="A14" s="9">
        <v>13</v>
      </c>
      <c r="B14" s="4"/>
      <c r="C14" s="15"/>
      <c r="D14" s="25"/>
      <c r="E14" s="22" t="s">
        <v>44</v>
      </c>
      <c r="F14" s="22"/>
      <c r="G14" s="22" t="s">
        <v>44</v>
      </c>
      <c r="H14" s="22" t="s">
        <v>45</v>
      </c>
      <c r="I14" s="23" t="s">
        <v>46</v>
      </c>
      <c r="J14" s="1">
        <f>VLOOKUP(G14,[1]Sheet1!$G:$K,5,FALSE)</f>
        <v>18</v>
      </c>
      <c r="K14" s="14" t="s">
        <v>31</v>
      </c>
    </row>
    <row r="15" ht="59" customHeight="1" spans="1:11">
      <c r="A15" s="9">
        <v>14</v>
      </c>
      <c r="B15" s="4"/>
      <c r="C15" s="15"/>
      <c r="D15" s="26"/>
      <c r="E15" s="22" t="s">
        <v>47</v>
      </c>
      <c r="F15" s="22"/>
      <c r="G15" s="22" t="s">
        <v>47</v>
      </c>
      <c r="H15" s="22" t="s">
        <v>48</v>
      </c>
      <c r="I15" s="23" t="s">
        <v>49</v>
      </c>
      <c r="J15" s="1">
        <f>VLOOKUP(G15,[1]Sheet1!$G:$K,5,FALSE)</f>
        <v>19</v>
      </c>
      <c r="K15" s="14" t="s">
        <v>31</v>
      </c>
    </row>
    <row r="16" ht="17" hidden="1" spans="1:11">
      <c r="A16" s="9">
        <v>15</v>
      </c>
      <c r="B16" s="4"/>
      <c r="C16" s="15"/>
      <c r="D16" s="27" t="s">
        <v>50</v>
      </c>
      <c r="E16" s="28" t="s">
        <v>51</v>
      </c>
      <c r="F16" s="28"/>
      <c r="G16" s="28" t="s">
        <v>51</v>
      </c>
      <c r="H16" s="28"/>
      <c r="I16" s="18" t="s">
        <v>52</v>
      </c>
      <c r="J16" s="1">
        <f>VLOOKUP(G16,[1]Sheet1!$G:$K,5,FALSE)</f>
        <v>21</v>
      </c>
      <c r="K16" s="14"/>
    </row>
    <row r="17" ht="17" hidden="1" spans="1:11">
      <c r="A17" s="9">
        <v>16</v>
      </c>
      <c r="B17" s="4"/>
      <c r="C17" s="15"/>
      <c r="D17" s="27"/>
      <c r="E17" s="28" t="s">
        <v>53</v>
      </c>
      <c r="F17" s="28"/>
      <c r="G17" s="28" t="s">
        <v>53</v>
      </c>
      <c r="H17" s="28"/>
      <c r="I17" s="18" t="s">
        <v>54</v>
      </c>
      <c r="J17" s="1">
        <f>VLOOKUP(G17,[1]Sheet1!$G:$K,5,FALSE)</f>
        <v>22</v>
      </c>
      <c r="K17" s="14"/>
    </row>
    <row r="18" ht="17" hidden="1" spans="1:11">
      <c r="A18" s="9">
        <v>17</v>
      </c>
      <c r="B18" s="4"/>
      <c r="C18" s="15"/>
      <c r="D18" s="27"/>
      <c r="E18" s="28" t="s">
        <v>55</v>
      </c>
      <c r="F18" s="28"/>
      <c r="G18" s="28" t="s">
        <v>55</v>
      </c>
      <c r="H18" s="28"/>
      <c r="I18" s="18" t="s">
        <v>56</v>
      </c>
      <c r="J18" s="1">
        <f>VLOOKUP(G18,[1]Sheet1!$G:$K,5,FALSE)</f>
        <v>23</v>
      </c>
      <c r="K18" s="14"/>
    </row>
    <row r="19" ht="17" hidden="1" spans="1:11">
      <c r="A19" s="9">
        <v>18</v>
      </c>
      <c r="B19" s="4"/>
      <c r="C19" s="15"/>
      <c r="D19" s="27"/>
      <c r="E19" s="28" t="s">
        <v>57</v>
      </c>
      <c r="F19" s="28"/>
      <c r="G19" s="28" t="s">
        <v>57</v>
      </c>
      <c r="H19" s="28"/>
      <c r="I19" s="18" t="s">
        <v>58</v>
      </c>
      <c r="J19" s="1">
        <f>VLOOKUP(G19,[1]Sheet1!$G:$K,5,FALSE)</f>
        <v>24</v>
      </c>
      <c r="K19" s="14"/>
    </row>
    <row r="20" ht="17" hidden="1" spans="1:11">
      <c r="A20" s="9">
        <v>19</v>
      </c>
      <c r="B20" s="4"/>
      <c r="C20" s="29"/>
      <c r="D20" s="27"/>
      <c r="E20" s="30" t="s">
        <v>59</v>
      </c>
      <c r="F20" s="30"/>
      <c r="G20" s="30" t="s">
        <v>59</v>
      </c>
      <c r="H20" s="30"/>
      <c r="I20" s="13" t="s">
        <v>60</v>
      </c>
      <c r="J20" s="1">
        <f>VLOOKUP(G20,[1]Sheet1!$G:$K,5,FALSE)</f>
        <v>25</v>
      </c>
      <c r="K20" s="14" t="s">
        <v>61</v>
      </c>
    </row>
    <row r="21" ht="17" hidden="1" spans="1:11">
      <c r="A21" s="9">
        <v>20</v>
      </c>
      <c r="B21" s="4"/>
      <c r="C21" s="11" t="s">
        <v>62</v>
      </c>
      <c r="D21" s="27" t="s">
        <v>10</v>
      </c>
      <c r="E21" s="31" t="s">
        <v>63</v>
      </c>
      <c r="F21" s="31"/>
      <c r="G21" s="32" t="s">
        <v>63</v>
      </c>
      <c r="H21" s="32"/>
      <c r="I21" s="33" t="s">
        <v>64</v>
      </c>
      <c r="J21" s="1">
        <f>VLOOKUP(G21,[1]Sheet1!$G:$K,5,FALSE)</f>
        <v>26</v>
      </c>
      <c r="K21" s="14"/>
    </row>
    <row r="22" ht="17" hidden="1" spans="1:11">
      <c r="A22" s="9">
        <v>21</v>
      </c>
      <c r="B22" s="4"/>
      <c r="C22" s="16"/>
      <c r="D22" s="27"/>
      <c r="E22" s="31" t="s">
        <v>65</v>
      </c>
      <c r="F22" s="31"/>
      <c r="G22" s="32" t="s">
        <v>65</v>
      </c>
      <c r="H22" s="32"/>
      <c r="I22" s="33" t="s">
        <v>66</v>
      </c>
      <c r="J22" s="1">
        <f>VLOOKUP(G22,[1]Sheet1!$G:$K,5,FALSE)</f>
        <v>27</v>
      </c>
      <c r="K22" s="14"/>
    </row>
    <row r="23" ht="17" hidden="1" spans="1:11">
      <c r="A23" s="9">
        <v>22</v>
      </c>
      <c r="B23" s="4"/>
      <c r="C23" s="16"/>
      <c r="D23" s="27"/>
      <c r="E23" s="30" t="s">
        <v>67</v>
      </c>
      <c r="F23" s="30"/>
      <c r="G23" s="34" t="s">
        <v>67</v>
      </c>
      <c r="H23" s="34"/>
      <c r="I23" s="13" t="s">
        <v>68</v>
      </c>
      <c r="J23" s="1">
        <f>VLOOKUP(G23,[1]Sheet1!$G:$K,5,FALSE)</f>
        <v>28</v>
      </c>
      <c r="K23" s="14"/>
    </row>
    <row r="24" ht="17" hidden="1" spans="1:11">
      <c r="A24" s="9">
        <v>23</v>
      </c>
      <c r="B24" s="4"/>
      <c r="C24" s="16"/>
      <c r="D24" s="27"/>
      <c r="E24" s="30" t="s">
        <v>69</v>
      </c>
      <c r="F24" s="30"/>
      <c r="G24" s="34" t="s">
        <v>69</v>
      </c>
      <c r="H24" s="34"/>
      <c r="I24" s="13" t="s">
        <v>70</v>
      </c>
      <c r="J24" s="1">
        <f>VLOOKUP(G24,[1]Sheet1!$G:$K,5,FALSE)</f>
        <v>29</v>
      </c>
      <c r="K24" s="14"/>
    </row>
    <row r="25" ht="17" hidden="1" spans="1:11">
      <c r="A25" s="9">
        <v>24</v>
      </c>
      <c r="B25" s="4"/>
      <c r="C25" s="16"/>
      <c r="D25" s="27"/>
      <c r="E25" s="30" t="s">
        <v>71</v>
      </c>
      <c r="F25" s="30"/>
      <c r="G25" s="34" t="s">
        <v>71</v>
      </c>
      <c r="H25" s="34"/>
      <c r="I25" s="13" t="s">
        <v>72</v>
      </c>
      <c r="J25" s="1">
        <f>VLOOKUP(G25,[1]Sheet1!$G:$K,5,FALSE)</f>
        <v>30</v>
      </c>
      <c r="K25" s="14"/>
    </row>
    <row r="26" ht="17" hidden="1" spans="1:11">
      <c r="A26" s="9">
        <v>25</v>
      </c>
      <c r="B26" s="4"/>
      <c r="C26" s="16"/>
      <c r="D26" s="27"/>
      <c r="E26" s="30" t="s">
        <v>73</v>
      </c>
      <c r="F26" s="30"/>
      <c r="G26" s="34" t="s">
        <v>73</v>
      </c>
      <c r="H26" s="34"/>
      <c r="I26" s="13" t="s">
        <v>74</v>
      </c>
      <c r="J26" s="1">
        <f>VLOOKUP(G26,[1]Sheet1!$G:$K,5,FALSE)</f>
        <v>31</v>
      </c>
      <c r="K26" s="14"/>
    </row>
    <row r="27" ht="34" hidden="1" spans="1:11">
      <c r="A27" s="9">
        <v>26</v>
      </c>
      <c r="B27" s="4"/>
      <c r="C27" s="16"/>
      <c r="D27" s="27"/>
      <c r="E27" s="30" t="s">
        <v>75</v>
      </c>
      <c r="F27" s="30"/>
      <c r="G27" s="30" t="s">
        <v>75</v>
      </c>
      <c r="H27" s="30"/>
      <c r="I27" s="13" t="s">
        <v>76</v>
      </c>
      <c r="J27" s="1">
        <f>VLOOKUP(G27,[1]Sheet1!$G:$K,5,FALSE)</f>
        <v>32</v>
      </c>
      <c r="K27" s="14"/>
    </row>
    <row r="28" ht="34" hidden="1" spans="1:11">
      <c r="A28" s="9">
        <v>27</v>
      </c>
      <c r="B28" s="4"/>
      <c r="C28" s="16"/>
      <c r="D28" s="27"/>
      <c r="E28" s="30" t="s">
        <v>77</v>
      </c>
      <c r="F28" s="30"/>
      <c r="G28" s="30" t="s">
        <v>77</v>
      </c>
      <c r="H28" s="30"/>
      <c r="I28" s="13" t="s">
        <v>78</v>
      </c>
      <c r="J28" s="1">
        <f>VLOOKUP(G28,[1]Sheet1!$G:$K,5,FALSE)</f>
        <v>33</v>
      </c>
      <c r="K28" s="14"/>
    </row>
    <row r="29" ht="34" hidden="1" spans="1:11">
      <c r="A29" s="9">
        <v>28</v>
      </c>
      <c r="B29" s="4"/>
      <c r="C29" s="16"/>
      <c r="D29" s="27"/>
      <c r="E29" s="30" t="s">
        <v>79</v>
      </c>
      <c r="F29" s="30"/>
      <c r="G29" s="30" t="s">
        <v>79</v>
      </c>
      <c r="H29" s="30"/>
      <c r="I29" s="13" t="s">
        <v>80</v>
      </c>
      <c r="J29" s="1">
        <f>VLOOKUP(G29,[1]Sheet1!$G:$K,5,FALSE)</f>
        <v>34</v>
      </c>
      <c r="K29" s="14"/>
    </row>
    <row r="30" ht="34" hidden="1" spans="1:11">
      <c r="A30" s="9">
        <v>29</v>
      </c>
      <c r="B30" s="4"/>
      <c r="C30" s="16"/>
      <c r="D30" s="27"/>
      <c r="E30" s="30" t="s">
        <v>81</v>
      </c>
      <c r="F30" s="30"/>
      <c r="G30" s="30" t="s">
        <v>81</v>
      </c>
      <c r="H30" s="30"/>
      <c r="I30" s="13" t="s">
        <v>82</v>
      </c>
      <c r="J30" s="1">
        <f>VLOOKUP(G30,[1]Sheet1!$G:$K,5,FALSE)</f>
        <v>35</v>
      </c>
      <c r="K30" s="14"/>
    </row>
    <row r="31" ht="17" hidden="1" spans="1:11">
      <c r="A31" s="9">
        <v>30</v>
      </c>
      <c r="B31" s="4"/>
      <c r="C31" s="16"/>
      <c r="D31" s="27"/>
      <c r="E31" s="30" t="s">
        <v>83</v>
      </c>
      <c r="F31" s="30"/>
      <c r="G31" s="30" t="s">
        <v>83</v>
      </c>
      <c r="H31" s="30"/>
      <c r="I31" s="13" t="s">
        <v>84</v>
      </c>
      <c r="J31" s="1">
        <f>VLOOKUP(G31,[1]Sheet1!$G:$K,5,FALSE)</f>
        <v>36</v>
      </c>
      <c r="K31" s="14"/>
    </row>
    <row r="32" ht="34" hidden="1" spans="1:11">
      <c r="A32" s="9">
        <v>31</v>
      </c>
      <c r="B32" s="4"/>
      <c r="C32" s="16"/>
      <c r="D32" s="27"/>
      <c r="E32" s="30" t="s">
        <v>85</v>
      </c>
      <c r="F32" s="30"/>
      <c r="G32" s="30" t="s">
        <v>85</v>
      </c>
      <c r="H32" s="30"/>
      <c r="I32" s="13" t="s">
        <v>86</v>
      </c>
      <c r="J32" s="1">
        <f>VLOOKUP(G32,[1]Sheet1!$G:$K,5,FALSE)</f>
        <v>37</v>
      </c>
      <c r="K32" s="14"/>
    </row>
    <row r="33" ht="34" hidden="1" spans="1:11">
      <c r="A33" s="9">
        <v>32</v>
      </c>
      <c r="B33" s="4"/>
      <c r="C33" s="16"/>
      <c r="D33" s="27" t="s">
        <v>87</v>
      </c>
      <c r="E33" s="28" t="s">
        <v>88</v>
      </c>
      <c r="F33" s="28"/>
      <c r="G33" s="21" t="s">
        <v>88</v>
      </c>
      <c r="H33" s="21"/>
      <c r="I33" s="18" t="s">
        <v>89</v>
      </c>
      <c r="J33" s="1">
        <f>VLOOKUP(G33,[1]Sheet1!$G:$K,5,FALSE)</f>
        <v>38</v>
      </c>
      <c r="K33" s="14"/>
    </row>
    <row r="34" ht="34" hidden="1" spans="1:11">
      <c r="A34" s="9">
        <v>33</v>
      </c>
      <c r="B34" s="4"/>
      <c r="C34" s="16"/>
      <c r="D34" s="27"/>
      <c r="E34" s="28" t="s">
        <v>90</v>
      </c>
      <c r="F34" s="28"/>
      <c r="G34" s="21" t="s">
        <v>90</v>
      </c>
      <c r="H34" s="21"/>
      <c r="I34" s="18" t="s">
        <v>91</v>
      </c>
      <c r="J34" s="1">
        <f>VLOOKUP(G34,[1]Sheet1!$G:$K,5,FALSE)</f>
        <v>39</v>
      </c>
      <c r="K34" s="14"/>
    </row>
    <row r="35" ht="17" hidden="1" spans="1:11">
      <c r="A35" s="9">
        <v>34</v>
      </c>
      <c r="B35" s="4"/>
      <c r="C35" s="16"/>
      <c r="D35" s="27"/>
      <c r="E35" s="28" t="s">
        <v>92</v>
      </c>
      <c r="F35" s="28"/>
      <c r="G35" s="21" t="s">
        <v>92</v>
      </c>
      <c r="H35" s="21"/>
      <c r="I35" s="18" t="s">
        <v>93</v>
      </c>
      <c r="J35" s="1">
        <f>VLOOKUP(G35,[1]Sheet1!$G:$K,5,FALSE)</f>
        <v>40</v>
      </c>
      <c r="K35" s="14"/>
    </row>
    <row r="36" ht="34" hidden="1" spans="1:11">
      <c r="A36" s="9">
        <v>35</v>
      </c>
      <c r="B36" s="4"/>
      <c r="C36" s="16"/>
      <c r="D36" s="27"/>
      <c r="E36" s="28" t="s">
        <v>94</v>
      </c>
      <c r="F36" s="28"/>
      <c r="G36" s="21" t="s">
        <v>94</v>
      </c>
      <c r="H36" s="21"/>
      <c r="I36" s="18" t="s">
        <v>95</v>
      </c>
      <c r="J36" s="1">
        <f>VLOOKUP(G36,[1]Sheet1!$G:$K,5,FALSE)</f>
        <v>41</v>
      </c>
      <c r="K36" s="14"/>
    </row>
    <row r="37" ht="34" hidden="1" spans="1:11">
      <c r="A37" s="9">
        <v>36</v>
      </c>
      <c r="B37" s="4"/>
      <c r="C37" s="16"/>
      <c r="D37" s="11" t="s">
        <v>96</v>
      </c>
      <c r="E37" s="28" t="s">
        <v>97</v>
      </c>
      <c r="F37" s="28"/>
      <c r="G37" s="21" t="s">
        <v>97</v>
      </c>
      <c r="H37" s="21"/>
      <c r="I37" s="18" t="s">
        <v>98</v>
      </c>
      <c r="J37" s="1">
        <f>VLOOKUP(G37,[1]Sheet1!$G:$K,5,FALSE)</f>
        <v>42</v>
      </c>
      <c r="K37" s="14"/>
    </row>
    <row r="38" ht="34" hidden="1" spans="1:11">
      <c r="A38" s="9">
        <v>37</v>
      </c>
      <c r="B38" s="4"/>
      <c r="C38" s="16"/>
      <c r="D38" s="16"/>
      <c r="E38" s="28" t="s">
        <v>99</v>
      </c>
      <c r="F38" s="28"/>
      <c r="G38" s="28" t="s">
        <v>99</v>
      </c>
      <c r="H38" s="28"/>
      <c r="I38" s="18" t="s">
        <v>100</v>
      </c>
      <c r="J38" s="1">
        <f>VLOOKUP(G38,[1]Sheet1!$G:$K,5,FALSE)</f>
        <v>7</v>
      </c>
      <c r="K38" s="14"/>
    </row>
    <row r="39" ht="34" hidden="1" spans="1:11">
      <c r="A39" s="9">
        <v>38</v>
      </c>
      <c r="B39" s="4"/>
      <c r="C39" s="16"/>
      <c r="D39" s="16"/>
      <c r="E39" s="28" t="s">
        <v>101</v>
      </c>
      <c r="F39" s="28"/>
      <c r="G39" s="28" t="s">
        <v>101</v>
      </c>
      <c r="H39" s="28"/>
      <c r="I39" s="18" t="s">
        <v>102</v>
      </c>
      <c r="J39" s="1">
        <f>VLOOKUP(G39,[1]Sheet1!$G:$K,5,FALSE)</f>
        <v>90</v>
      </c>
      <c r="K39" s="14"/>
    </row>
    <row r="40" ht="34" hidden="1" spans="1:11">
      <c r="A40" s="9">
        <v>39</v>
      </c>
      <c r="B40" s="4"/>
      <c r="C40" s="16"/>
      <c r="D40" s="16"/>
      <c r="E40" s="28" t="s">
        <v>103</v>
      </c>
      <c r="F40" s="28"/>
      <c r="G40" s="21" t="s">
        <v>103</v>
      </c>
      <c r="H40" s="21"/>
      <c r="I40" s="18" t="s">
        <v>104</v>
      </c>
      <c r="J40" s="1">
        <f>VLOOKUP(G40,[1]Sheet1!$G:$K,5,FALSE)</f>
        <v>43</v>
      </c>
      <c r="K40" s="14"/>
    </row>
    <row r="41" ht="51" hidden="1" spans="1:11">
      <c r="A41" s="9">
        <v>40</v>
      </c>
      <c r="B41" s="4"/>
      <c r="C41" s="16"/>
      <c r="D41" s="16"/>
      <c r="E41" s="28" t="s">
        <v>105</v>
      </c>
      <c r="F41" s="28"/>
      <c r="G41" s="21" t="s">
        <v>105</v>
      </c>
      <c r="H41" s="21"/>
      <c r="I41" s="18" t="s">
        <v>106</v>
      </c>
      <c r="J41" s="1">
        <f>VLOOKUP(G41,[1]Sheet1!$G:$K,5,FALSE)</f>
        <v>44</v>
      </c>
      <c r="K41" s="14"/>
    </row>
    <row r="42" ht="34" hidden="1" spans="1:11">
      <c r="A42" s="9">
        <v>41</v>
      </c>
      <c r="B42" s="4"/>
      <c r="C42" s="16"/>
      <c r="D42" s="16"/>
      <c r="E42" s="28" t="s">
        <v>107</v>
      </c>
      <c r="F42" s="28"/>
      <c r="G42" s="28" t="s">
        <v>107</v>
      </c>
      <c r="H42" s="28"/>
      <c r="I42" s="18" t="s">
        <v>108</v>
      </c>
      <c r="J42" s="1">
        <f>VLOOKUP(G42,[1]Sheet1!$G:$K,5,FALSE)</f>
        <v>9</v>
      </c>
      <c r="K42" s="14"/>
    </row>
    <row r="43" ht="34" hidden="1" spans="1:11">
      <c r="A43" s="9">
        <v>42</v>
      </c>
      <c r="B43" s="4"/>
      <c r="C43" s="16"/>
      <c r="D43" s="16"/>
      <c r="E43" s="28" t="s">
        <v>109</v>
      </c>
      <c r="F43" s="28"/>
      <c r="G43" s="28" t="s">
        <v>109</v>
      </c>
      <c r="H43" s="28"/>
      <c r="I43" s="18" t="s">
        <v>110</v>
      </c>
      <c r="J43" s="1">
        <f>VLOOKUP(G43,[1]Sheet1!$G:$K,5,FALSE)</f>
        <v>10</v>
      </c>
      <c r="K43" s="14"/>
    </row>
    <row r="44" ht="34" hidden="1" spans="1:11">
      <c r="A44" s="9">
        <v>43</v>
      </c>
      <c r="B44" s="4"/>
      <c r="C44" s="16"/>
      <c r="D44" s="16"/>
      <c r="E44" s="35" t="s">
        <v>111</v>
      </c>
      <c r="F44" s="35"/>
      <c r="G44" s="21" t="s">
        <v>111</v>
      </c>
      <c r="H44" s="21"/>
      <c r="I44" s="13" t="s">
        <v>112</v>
      </c>
      <c r="J44" s="1">
        <f>VLOOKUP(G44,[1]Sheet1!$G:$K,5,FALSE)</f>
        <v>49</v>
      </c>
      <c r="K44" s="14" t="s">
        <v>61</v>
      </c>
    </row>
    <row r="45" ht="34" hidden="1" spans="1:11">
      <c r="A45" s="9">
        <v>44</v>
      </c>
      <c r="B45" s="4"/>
      <c r="C45" s="16"/>
      <c r="D45" s="16"/>
      <c r="E45" s="28"/>
      <c r="F45" s="28"/>
      <c r="G45" s="28" t="s">
        <v>113</v>
      </c>
      <c r="H45" s="28"/>
      <c r="I45" s="18" t="s">
        <v>114</v>
      </c>
      <c r="J45" s="1">
        <f>VLOOKUP(G45,[1]Sheet1!$G:$K,5,FALSE)</f>
        <v>50</v>
      </c>
      <c r="K45" s="14"/>
    </row>
    <row r="46" ht="34" hidden="1" spans="1:11">
      <c r="A46" s="9">
        <v>45</v>
      </c>
      <c r="B46" s="4"/>
      <c r="C46" s="16"/>
      <c r="D46" s="16"/>
      <c r="E46" s="28" t="s">
        <v>115</v>
      </c>
      <c r="F46" s="28"/>
      <c r="G46" s="21" t="s">
        <v>115</v>
      </c>
      <c r="H46" s="21"/>
      <c r="I46" s="18" t="s">
        <v>116</v>
      </c>
      <c r="J46" s="1">
        <f>VLOOKUP(G46,[1]Sheet1!$G:$K,5,FALSE)</f>
        <v>51</v>
      </c>
      <c r="K46" s="14"/>
    </row>
    <row r="47" ht="17" hidden="1" spans="1:11">
      <c r="A47" s="9">
        <v>46</v>
      </c>
      <c r="B47" s="4"/>
      <c r="C47" s="16"/>
      <c r="D47" s="16"/>
      <c r="E47" s="28" t="s">
        <v>117</v>
      </c>
      <c r="F47" s="28"/>
      <c r="G47" s="28" t="s">
        <v>117</v>
      </c>
      <c r="H47" s="28"/>
      <c r="I47" s="18" t="s">
        <v>118</v>
      </c>
      <c r="J47" s="1">
        <f>VLOOKUP(G47,[1]Sheet1!$G:$K,5,FALSE)</f>
        <v>91</v>
      </c>
      <c r="K47" s="14"/>
    </row>
    <row r="48" ht="17" hidden="1" spans="1:11">
      <c r="A48" s="9">
        <v>47</v>
      </c>
      <c r="B48" s="4"/>
      <c r="C48" s="16"/>
      <c r="D48" s="16"/>
      <c r="E48" s="28" t="s">
        <v>119</v>
      </c>
      <c r="F48" s="28"/>
      <c r="G48" s="28" t="s">
        <v>119</v>
      </c>
      <c r="H48" s="28"/>
      <c r="I48" s="18" t="s">
        <v>120</v>
      </c>
      <c r="J48" s="1">
        <f>VLOOKUP(G48,[1]Sheet1!$G:$K,5,FALSE)</f>
        <v>92</v>
      </c>
      <c r="K48" s="14"/>
    </row>
    <row r="49" ht="34" hidden="1" spans="1:11">
      <c r="A49" s="9">
        <v>48</v>
      </c>
      <c r="B49" s="4"/>
      <c r="C49" s="16"/>
      <c r="D49" s="16"/>
      <c r="E49" s="28" t="s">
        <v>121</v>
      </c>
      <c r="F49" s="28"/>
      <c r="G49" s="28" t="s">
        <v>121</v>
      </c>
      <c r="H49" s="28"/>
      <c r="I49" s="18" t="s">
        <v>122</v>
      </c>
      <c r="J49" s="1">
        <f>VLOOKUP(G49,[1]Sheet1!$G:$K,5,FALSE)</f>
        <v>93</v>
      </c>
      <c r="K49" s="14"/>
    </row>
    <row r="50" ht="34" hidden="1" spans="1:11">
      <c r="A50" s="9">
        <v>49</v>
      </c>
      <c r="B50" s="4"/>
      <c r="C50" s="16"/>
      <c r="D50" s="16"/>
      <c r="E50" s="28" t="s">
        <v>123</v>
      </c>
      <c r="F50" s="28"/>
      <c r="G50" s="28" t="s">
        <v>124</v>
      </c>
      <c r="H50" s="28"/>
      <c r="I50" s="18" t="s">
        <v>125</v>
      </c>
      <c r="J50" s="1">
        <f>VLOOKUP(G50,[1]Sheet1!$G:$K,5,FALSE)</f>
        <v>12</v>
      </c>
      <c r="K50" s="14"/>
    </row>
    <row r="51" ht="34" hidden="1" spans="1:11">
      <c r="A51" s="9">
        <v>50</v>
      </c>
      <c r="B51" s="4"/>
      <c r="C51" s="16"/>
      <c r="D51" s="16"/>
      <c r="E51" s="28" t="s">
        <v>126</v>
      </c>
      <c r="F51" s="28"/>
      <c r="G51" s="28" t="s">
        <v>126</v>
      </c>
      <c r="H51" s="28"/>
      <c r="I51" s="18" t="s">
        <v>127</v>
      </c>
      <c r="J51" s="1">
        <f>VLOOKUP(G51,[1]Sheet1!$G:$K,5,FALSE)</f>
        <v>13</v>
      </c>
      <c r="K51" s="14"/>
    </row>
    <row r="52" ht="34" hidden="1" spans="1:11">
      <c r="A52" s="9">
        <v>51</v>
      </c>
      <c r="B52" s="4"/>
      <c r="C52" s="16"/>
      <c r="D52" s="16"/>
      <c r="E52" s="28" t="s">
        <v>128</v>
      </c>
      <c r="F52" s="28"/>
      <c r="G52" s="21" t="s">
        <v>128</v>
      </c>
      <c r="H52" s="21"/>
      <c r="I52" s="13" t="s">
        <v>129</v>
      </c>
      <c r="J52" s="1">
        <f>VLOOKUP(G52,[1]Sheet1!$G:$K,5,FALSE)</f>
        <v>52</v>
      </c>
      <c r="K52" s="14" t="s">
        <v>61</v>
      </c>
    </row>
    <row r="53" ht="34" hidden="1" spans="1:11">
      <c r="A53" s="9">
        <v>52</v>
      </c>
      <c r="B53" s="4"/>
      <c r="C53" s="16"/>
      <c r="D53" s="16"/>
      <c r="E53" s="30" t="s">
        <v>130</v>
      </c>
      <c r="F53" s="30"/>
      <c r="G53" s="30" t="s">
        <v>130</v>
      </c>
      <c r="H53" s="30"/>
      <c r="I53" s="13" t="s">
        <v>131</v>
      </c>
      <c r="J53" s="1">
        <f>VLOOKUP(G53,[1]Sheet1!$G:$K,5,FALSE)</f>
        <v>53</v>
      </c>
      <c r="K53" s="14" t="s">
        <v>61</v>
      </c>
    </row>
    <row r="54" ht="17" hidden="1" spans="1:11">
      <c r="A54" s="9">
        <v>53</v>
      </c>
      <c r="B54" s="4"/>
      <c r="C54" s="16"/>
      <c r="D54" s="16"/>
      <c r="E54" s="30" t="s">
        <v>132</v>
      </c>
      <c r="F54" s="30"/>
      <c r="G54" s="30" t="s">
        <v>132</v>
      </c>
      <c r="H54" s="30"/>
      <c r="I54" s="13" t="s">
        <v>133</v>
      </c>
      <c r="J54" s="1">
        <f>VLOOKUP(G54,[1]Sheet1!$G:$K,5,FALSE)</f>
        <v>54</v>
      </c>
      <c r="K54" s="14" t="s">
        <v>61</v>
      </c>
    </row>
    <row r="55" ht="34" hidden="1" spans="1:11">
      <c r="A55" s="9">
        <v>54</v>
      </c>
      <c r="B55" s="4"/>
      <c r="C55" s="16"/>
      <c r="D55" s="16"/>
      <c r="E55" s="28" t="s">
        <v>134</v>
      </c>
      <c r="F55" s="28"/>
      <c r="G55" s="28" t="s">
        <v>134</v>
      </c>
      <c r="H55" s="28"/>
      <c r="I55" s="13" t="s">
        <v>135</v>
      </c>
      <c r="J55" s="1">
        <f>VLOOKUP(G55,[1]Sheet1!$G:$K,5,FALSE)</f>
        <v>56</v>
      </c>
      <c r="K55" s="14" t="s">
        <v>61</v>
      </c>
    </row>
    <row r="56" ht="34" hidden="1" spans="1:11">
      <c r="A56" s="9">
        <v>55</v>
      </c>
      <c r="B56" s="4"/>
      <c r="C56" s="16"/>
      <c r="D56" s="16"/>
      <c r="E56" s="28" t="s">
        <v>136</v>
      </c>
      <c r="F56" s="28"/>
      <c r="G56" s="28" t="s">
        <v>136</v>
      </c>
      <c r="H56" s="28"/>
      <c r="I56" s="18" t="s">
        <v>137</v>
      </c>
      <c r="J56" s="1">
        <f>VLOOKUP(G56,[1]Sheet1!$G:$K,5,FALSE)</f>
        <v>127</v>
      </c>
      <c r="K56" s="14"/>
    </row>
    <row r="57" ht="17.6" spans="1:11">
      <c r="A57" s="9">
        <v>56</v>
      </c>
      <c r="B57" s="4"/>
      <c r="C57" s="16"/>
      <c r="D57" s="36" t="s">
        <v>138</v>
      </c>
      <c r="E57" s="37" t="s">
        <v>139</v>
      </c>
      <c r="F57" s="38"/>
      <c r="G57" s="39" t="s">
        <v>139</v>
      </c>
      <c r="H57" s="39"/>
      <c r="I57" s="40" t="s">
        <v>140</v>
      </c>
      <c r="J57" s="1">
        <f>VLOOKUP(G57,[1]Sheet1!$G:$K,5,FALSE)</f>
        <v>55</v>
      </c>
      <c r="K57" s="14" t="s">
        <v>31</v>
      </c>
    </row>
    <row r="58" ht="17.6" spans="1:11">
      <c r="A58" s="9">
        <v>57</v>
      </c>
      <c r="B58" s="4"/>
      <c r="C58" s="16"/>
      <c r="D58" s="41" t="s">
        <v>141</v>
      </c>
      <c r="E58" s="42"/>
      <c r="F58" s="43"/>
      <c r="G58" s="44"/>
      <c r="H58" s="44"/>
      <c r="I58" s="45"/>
      <c r="K58" s="14" t="s">
        <v>31</v>
      </c>
    </row>
    <row r="59" ht="34" spans="1:11">
      <c r="A59" s="9">
        <v>58</v>
      </c>
      <c r="B59" s="4"/>
      <c r="C59" s="16"/>
      <c r="D59" s="46" t="s">
        <v>142</v>
      </c>
      <c r="E59" s="22" t="s">
        <v>143</v>
      </c>
      <c r="F59" s="22"/>
      <c r="G59" s="22" t="s">
        <v>143</v>
      </c>
      <c r="H59" s="47"/>
      <c r="I59" s="23" t="s">
        <v>144</v>
      </c>
      <c r="J59" s="48">
        <v>8</v>
      </c>
      <c r="K59" s="14" t="s">
        <v>31</v>
      </c>
    </row>
    <row r="60" ht="34" hidden="1" spans="1:11">
      <c r="A60" s="9">
        <v>59</v>
      </c>
      <c r="B60" s="4"/>
      <c r="C60" s="16"/>
      <c r="D60" s="27" t="s">
        <v>145</v>
      </c>
      <c r="E60" s="28" t="s">
        <v>146</v>
      </c>
      <c r="F60" s="28"/>
      <c r="G60" s="28" t="s">
        <v>146</v>
      </c>
      <c r="H60" s="28"/>
      <c r="I60" s="18" t="s">
        <v>147</v>
      </c>
      <c r="J60" s="1">
        <f>VLOOKUP(G60,[1]Sheet1!$G:$K,5,FALSE)</f>
        <v>11</v>
      </c>
      <c r="K60" s="14"/>
    </row>
    <row r="61" ht="34" hidden="1" spans="1:11">
      <c r="A61" s="9">
        <v>60</v>
      </c>
      <c r="B61" s="4"/>
      <c r="C61" s="16"/>
      <c r="D61" s="27"/>
      <c r="E61" s="28" t="s">
        <v>148</v>
      </c>
      <c r="F61" s="28"/>
      <c r="G61" s="28" t="s">
        <v>149</v>
      </c>
      <c r="H61" s="28"/>
      <c r="I61" s="18" t="s">
        <v>150</v>
      </c>
      <c r="J61" s="1">
        <f>VLOOKUP(G61,[1]Sheet1!$G:$K,5,FALSE)</f>
        <v>57</v>
      </c>
      <c r="K61" s="14"/>
    </row>
    <row r="62" ht="34" hidden="1" spans="1:11">
      <c r="A62" s="9">
        <v>61</v>
      </c>
      <c r="B62" s="4"/>
      <c r="C62" s="16"/>
      <c r="D62" s="27"/>
      <c r="E62" s="28" t="s">
        <v>151</v>
      </c>
      <c r="F62" s="28"/>
      <c r="G62" s="28" t="s">
        <v>151</v>
      </c>
      <c r="H62" s="28"/>
      <c r="I62" s="18" t="s">
        <v>152</v>
      </c>
      <c r="J62" s="1">
        <f>VLOOKUP(G62,[1]Sheet1!$G:$K,5,FALSE)</f>
        <v>58</v>
      </c>
      <c r="K62" s="14"/>
    </row>
    <row r="63" ht="34" hidden="1" spans="1:11">
      <c r="A63" s="9">
        <v>62</v>
      </c>
      <c r="B63" s="4"/>
      <c r="C63" s="16"/>
      <c r="D63" s="27"/>
      <c r="E63" s="28" t="s">
        <v>153</v>
      </c>
      <c r="F63" s="28"/>
      <c r="G63" s="28" t="s">
        <v>153</v>
      </c>
      <c r="H63" s="28"/>
      <c r="I63" s="18" t="s">
        <v>154</v>
      </c>
      <c r="J63" s="1">
        <f>VLOOKUP(G63,[1]Sheet1!$G:$K,5,FALSE)</f>
        <v>59</v>
      </c>
      <c r="K63" s="14"/>
    </row>
    <row r="64" ht="17" hidden="1" spans="1:11">
      <c r="A64" s="9">
        <v>63</v>
      </c>
      <c r="B64" s="4"/>
      <c r="C64" s="16"/>
      <c r="D64" s="27"/>
      <c r="E64" s="28" t="s">
        <v>155</v>
      </c>
      <c r="F64" s="28"/>
      <c r="G64" s="28" t="s">
        <v>155</v>
      </c>
      <c r="H64" s="28"/>
      <c r="I64" s="18" t="s">
        <v>156</v>
      </c>
      <c r="J64" s="1">
        <f>VLOOKUP(G64,[1]Sheet1!$G:$K,5,FALSE)</f>
        <v>60</v>
      </c>
      <c r="K64" s="14"/>
    </row>
    <row r="65" ht="34" hidden="1" spans="1:11">
      <c r="A65" s="9">
        <v>64</v>
      </c>
      <c r="B65" s="4"/>
      <c r="C65" s="16"/>
      <c r="D65" s="27"/>
      <c r="E65" s="19" t="s">
        <v>157</v>
      </c>
      <c r="F65" s="20"/>
      <c r="G65" s="28" t="s">
        <v>157</v>
      </c>
      <c r="H65" s="28"/>
      <c r="I65" s="18" t="s">
        <v>158</v>
      </c>
      <c r="J65" s="1">
        <f>VLOOKUP(G65,[1]Sheet1!$G:$K,5,FALSE)</f>
        <v>61</v>
      </c>
      <c r="K65" s="14"/>
    </row>
    <row r="66" ht="34" hidden="1" spans="1:11">
      <c r="A66" s="9">
        <v>65</v>
      </c>
      <c r="B66" s="4"/>
      <c r="C66" s="16"/>
      <c r="D66" s="27"/>
      <c r="E66" s="28" t="s">
        <v>159</v>
      </c>
      <c r="F66" s="28"/>
      <c r="G66" s="28" t="s">
        <v>159</v>
      </c>
      <c r="H66" s="28"/>
      <c r="I66" s="18" t="s">
        <v>160</v>
      </c>
      <c r="J66" s="1">
        <f>VLOOKUP(G66,[1]Sheet1!$G:$K,5,FALSE)</f>
        <v>62</v>
      </c>
      <c r="K66" s="14"/>
    </row>
    <row r="67" ht="17.6" hidden="1" spans="1:11">
      <c r="A67" s="9">
        <v>66</v>
      </c>
      <c r="B67" s="4"/>
      <c r="C67" s="16"/>
      <c r="D67" s="49" t="s">
        <v>161</v>
      </c>
      <c r="E67" s="28" t="s">
        <v>162</v>
      </c>
      <c r="F67" s="28"/>
      <c r="G67" s="28" t="s">
        <v>162</v>
      </c>
      <c r="H67" s="28"/>
      <c r="I67" s="18" t="s">
        <v>163</v>
      </c>
      <c r="J67" s="1">
        <f>VLOOKUP(G67,[1]Sheet1!$G:$K,5,FALSE)</f>
        <v>89</v>
      </c>
      <c r="K67" s="14"/>
    </row>
    <row r="68" ht="17" hidden="1" spans="1:11">
      <c r="A68" s="9">
        <v>67</v>
      </c>
      <c r="B68" s="4"/>
      <c r="C68" s="16"/>
      <c r="D68" s="50" t="s">
        <v>164</v>
      </c>
      <c r="E68" s="28" t="s">
        <v>165</v>
      </c>
      <c r="F68" s="28"/>
      <c r="G68" s="28" t="s">
        <v>165</v>
      </c>
      <c r="H68" s="28"/>
      <c r="I68" s="18" t="s">
        <v>166</v>
      </c>
      <c r="J68" s="1">
        <f>VLOOKUP(G68,[1]Sheet1!$G:$K,5,FALSE)</f>
        <v>63</v>
      </c>
      <c r="K68" s="14"/>
    </row>
    <row r="69" ht="17" hidden="1" spans="1:11">
      <c r="A69" s="9">
        <v>68</v>
      </c>
      <c r="B69" s="4"/>
      <c r="C69" s="16"/>
      <c r="D69" s="50"/>
      <c r="E69" s="28" t="s">
        <v>167</v>
      </c>
      <c r="F69" s="28"/>
      <c r="G69" s="28" t="s">
        <v>167</v>
      </c>
      <c r="H69" s="28"/>
      <c r="I69" s="18" t="s">
        <v>168</v>
      </c>
      <c r="J69" s="1">
        <f>VLOOKUP(G69,[1]Sheet1!$G:$K,5,FALSE)</f>
        <v>64</v>
      </c>
      <c r="K69" s="14"/>
    </row>
    <row r="70" ht="34" hidden="1" spans="1:11">
      <c r="A70" s="9">
        <v>69</v>
      </c>
      <c r="B70" s="4"/>
      <c r="C70" s="16"/>
      <c r="D70" s="50"/>
      <c r="E70" s="19" t="s">
        <v>169</v>
      </c>
      <c r="F70" s="20"/>
      <c r="G70" s="28" t="s">
        <v>169</v>
      </c>
      <c r="H70" s="28"/>
      <c r="I70" s="18" t="s">
        <v>170</v>
      </c>
      <c r="J70" s="1">
        <f>VLOOKUP(G70,[1]Sheet1!$G:$K,5,FALSE)</f>
        <v>65</v>
      </c>
      <c r="K70" s="14"/>
    </row>
    <row r="71" ht="17" hidden="1" spans="1:11">
      <c r="A71" s="9">
        <v>70</v>
      </c>
      <c r="B71" s="4"/>
      <c r="C71" s="16"/>
      <c r="D71" s="50"/>
      <c r="E71" s="28" t="s">
        <v>171</v>
      </c>
      <c r="F71" s="28"/>
      <c r="G71" s="28" t="s">
        <v>171</v>
      </c>
      <c r="H71" s="28"/>
      <c r="I71" s="18" t="s">
        <v>172</v>
      </c>
      <c r="J71" s="1">
        <f>VLOOKUP(G71,[1]Sheet1!$G:$K,5,FALSE)</f>
        <v>66</v>
      </c>
      <c r="K71" s="14"/>
    </row>
    <row r="72" ht="34" hidden="1" spans="1:11">
      <c r="A72" s="9">
        <v>71</v>
      </c>
      <c r="B72" s="4"/>
      <c r="C72" s="16"/>
      <c r="D72" s="50"/>
      <c r="E72" s="19" t="s">
        <v>173</v>
      </c>
      <c r="F72" s="20"/>
      <c r="G72" s="21" t="s">
        <v>173</v>
      </c>
      <c r="H72" s="21"/>
      <c r="I72" s="18" t="s">
        <v>174</v>
      </c>
      <c r="J72" s="1">
        <f>VLOOKUP(G72,[1]Sheet1!$G:$K,5,FALSE)</f>
        <v>45</v>
      </c>
      <c r="K72" s="14"/>
    </row>
    <row r="73" ht="34" hidden="1" spans="1:11">
      <c r="A73" s="9">
        <v>72</v>
      </c>
      <c r="B73" s="4"/>
      <c r="C73" s="16"/>
      <c r="D73" s="50"/>
      <c r="E73" s="19" t="s">
        <v>175</v>
      </c>
      <c r="F73" s="20"/>
      <c r="G73" s="21" t="s">
        <v>175</v>
      </c>
      <c r="H73" s="21"/>
      <c r="I73" s="18" t="s">
        <v>176</v>
      </c>
      <c r="J73" s="1">
        <v>46</v>
      </c>
      <c r="K73" s="14"/>
    </row>
    <row r="74" ht="17" hidden="1" spans="1:11">
      <c r="A74" s="9">
        <v>73</v>
      </c>
      <c r="B74" s="4"/>
      <c r="C74" s="17"/>
      <c r="D74" s="50"/>
      <c r="E74" s="51" t="s">
        <v>177</v>
      </c>
      <c r="F74" s="52"/>
      <c r="G74" s="21" t="s">
        <v>177</v>
      </c>
      <c r="H74" s="21"/>
      <c r="I74" s="18" t="s">
        <v>178</v>
      </c>
      <c r="J74" s="1">
        <f>VLOOKUP(G74,[1]Sheet1!$G:$K,5,FALSE)</f>
        <v>47</v>
      </c>
      <c r="K74" s="14"/>
    </row>
    <row r="75" ht="34" hidden="1" spans="1:11">
      <c r="A75" s="9">
        <v>74</v>
      </c>
      <c r="B75" s="4"/>
      <c r="C75" s="27" t="s">
        <v>179</v>
      </c>
      <c r="D75" s="53" t="s">
        <v>10</v>
      </c>
      <c r="E75" s="28" t="s">
        <v>180</v>
      </c>
      <c r="F75" s="28"/>
      <c r="G75" s="28" t="s">
        <v>180</v>
      </c>
      <c r="H75" s="28"/>
      <c r="I75" s="18" t="s">
        <v>181</v>
      </c>
      <c r="J75" s="1">
        <f>VLOOKUP(G75,[1]Sheet1!$G:$K,5,FALSE)</f>
        <v>71</v>
      </c>
      <c r="K75" s="14"/>
    </row>
    <row r="76" ht="17" hidden="1" spans="1:11">
      <c r="A76" s="9">
        <v>75</v>
      </c>
      <c r="B76" s="4"/>
      <c r="C76" s="27"/>
      <c r="D76" s="53"/>
      <c r="E76" s="30" t="s">
        <v>182</v>
      </c>
      <c r="F76" s="30"/>
      <c r="G76" s="30" t="s">
        <v>182</v>
      </c>
      <c r="H76" s="30"/>
      <c r="I76" s="13" t="s">
        <v>183</v>
      </c>
      <c r="J76" s="1">
        <f>VLOOKUP(G76,[1]Sheet1!$G:$K,5,FALSE)</f>
        <v>72</v>
      </c>
      <c r="K76" s="14" t="s">
        <v>61</v>
      </c>
    </row>
    <row r="77" ht="51" hidden="1" spans="1:11">
      <c r="A77" s="9">
        <v>76</v>
      </c>
      <c r="B77" s="4"/>
      <c r="C77" s="27"/>
      <c r="D77" s="27" t="s">
        <v>184</v>
      </c>
      <c r="E77" s="28" t="s">
        <v>185</v>
      </c>
      <c r="F77" s="28"/>
      <c r="G77" s="28" t="s">
        <v>185</v>
      </c>
      <c r="H77" s="28"/>
      <c r="I77" s="18" t="s">
        <v>186</v>
      </c>
      <c r="J77" s="1">
        <f>VLOOKUP(G77,[1]Sheet1!$G:$K,5,FALSE)</f>
        <v>73</v>
      </c>
      <c r="K77" s="14"/>
    </row>
    <row r="78" ht="34" hidden="1" spans="1:11">
      <c r="A78" s="9">
        <v>77</v>
      </c>
      <c r="B78" s="4"/>
      <c r="C78" s="27"/>
      <c r="D78" s="54" t="s">
        <v>187</v>
      </c>
      <c r="E78" s="28" t="s">
        <v>187</v>
      </c>
      <c r="F78" s="28"/>
      <c r="G78" s="28" t="s">
        <v>187</v>
      </c>
      <c r="H78" s="28"/>
      <c r="I78" s="18" t="s">
        <v>188</v>
      </c>
      <c r="J78" s="1">
        <f>VLOOKUP(G78,[1]Sheet1!$G:$K,5,FALSE)</f>
        <v>74</v>
      </c>
      <c r="K78" s="14"/>
    </row>
    <row r="79" ht="34" hidden="1" spans="1:11">
      <c r="A79" s="9">
        <v>78</v>
      </c>
      <c r="B79" s="4"/>
      <c r="C79" s="27"/>
      <c r="D79" s="54"/>
      <c r="E79" s="30" t="s">
        <v>189</v>
      </c>
      <c r="F79" s="30"/>
      <c r="G79" s="30" t="s">
        <v>189</v>
      </c>
      <c r="H79" s="30"/>
      <c r="I79" s="13" t="s">
        <v>190</v>
      </c>
      <c r="J79" s="1">
        <f>VLOOKUP(G79,[1]Sheet1!$G:$K,5,FALSE)</f>
        <v>80</v>
      </c>
      <c r="K79" s="14" t="s">
        <v>61</v>
      </c>
    </row>
    <row r="80" ht="34" hidden="1" spans="1:11">
      <c r="A80" s="9">
        <v>79</v>
      </c>
      <c r="B80" s="4"/>
      <c r="C80" s="27"/>
      <c r="D80" s="54"/>
      <c r="E80" s="30" t="s">
        <v>191</v>
      </c>
      <c r="F80" s="30"/>
      <c r="G80" s="30" t="s">
        <v>191</v>
      </c>
      <c r="H80" s="30"/>
      <c r="I80" s="13" t="s">
        <v>192</v>
      </c>
      <c r="J80" s="1">
        <f>VLOOKUP(G80,[1]Sheet1!$G:$K,5,FALSE)</f>
        <v>81</v>
      </c>
      <c r="K80" s="14" t="s">
        <v>61</v>
      </c>
    </row>
    <row r="81" ht="17" hidden="1" spans="1:11">
      <c r="A81" s="9">
        <v>80</v>
      </c>
      <c r="B81" s="4"/>
      <c r="C81" s="27"/>
      <c r="D81" s="54"/>
      <c r="E81" s="28" t="s">
        <v>193</v>
      </c>
      <c r="F81" s="28"/>
      <c r="G81" s="28" t="s">
        <v>193</v>
      </c>
      <c r="H81" s="28"/>
      <c r="I81" s="18" t="s">
        <v>194</v>
      </c>
      <c r="J81" s="1">
        <f>VLOOKUP(G81,[1]Sheet1!$G:$K,5,FALSE)</f>
        <v>82</v>
      </c>
      <c r="K81" s="14"/>
    </row>
    <row r="82" ht="17" hidden="1" spans="1:11">
      <c r="A82" s="9">
        <v>81</v>
      </c>
      <c r="B82" s="4"/>
      <c r="C82" s="27"/>
      <c r="D82" s="54"/>
      <c r="E82" s="28" t="s">
        <v>195</v>
      </c>
      <c r="F82" s="28"/>
      <c r="G82" s="28" t="s">
        <v>195</v>
      </c>
      <c r="H82" s="28"/>
      <c r="I82" s="18" t="s">
        <v>196</v>
      </c>
      <c r="J82" s="1">
        <f>VLOOKUP(G82,[1]Sheet1!$G:$K,5,FALSE)</f>
        <v>83</v>
      </c>
      <c r="K82" s="14"/>
    </row>
    <row r="83" ht="17" hidden="1" spans="1:11">
      <c r="A83" s="9">
        <v>82</v>
      </c>
      <c r="B83" s="4"/>
      <c r="C83" s="27"/>
      <c r="D83" s="54"/>
      <c r="E83" s="28" t="s">
        <v>197</v>
      </c>
      <c r="F83" s="28"/>
      <c r="G83" s="28" t="s">
        <v>197</v>
      </c>
      <c r="H83" s="28"/>
      <c r="I83" s="18" t="s">
        <v>198</v>
      </c>
      <c r="J83" s="1">
        <f>VLOOKUP(G83,[1]Sheet1!$G:$K,5,FALSE)</f>
        <v>84</v>
      </c>
      <c r="K83" s="14"/>
    </row>
    <row r="84" ht="17" hidden="1" spans="1:11">
      <c r="A84" s="9">
        <v>83</v>
      </c>
      <c r="B84" s="4"/>
      <c r="C84" s="27"/>
      <c r="D84" s="27" t="s">
        <v>199</v>
      </c>
      <c r="E84" s="28" t="s">
        <v>200</v>
      </c>
      <c r="F84" s="28"/>
      <c r="G84" s="28" t="s">
        <v>200</v>
      </c>
      <c r="H84" s="28"/>
      <c r="I84" s="18" t="s">
        <v>201</v>
      </c>
      <c r="J84" s="48">
        <v>85</v>
      </c>
      <c r="K84" s="14"/>
    </row>
    <row r="85" ht="17" hidden="1" spans="1:11">
      <c r="A85" s="9">
        <v>84</v>
      </c>
      <c r="B85" s="4"/>
      <c r="C85" s="27"/>
      <c r="D85" s="27"/>
      <c r="E85" s="28" t="s">
        <v>202</v>
      </c>
      <c r="F85" s="28"/>
      <c r="G85" s="28" t="s">
        <v>202</v>
      </c>
      <c r="H85" s="28"/>
      <c r="I85" s="18" t="s">
        <v>203</v>
      </c>
      <c r="J85" s="1">
        <f>VLOOKUP(G85,[1]Sheet1!$G:$K,5,FALSE)</f>
        <v>86</v>
      </c>
      <c r="K85" s="14"/>
    </row>
    <row r="86" ht="17" hidden="1" spans="1:11">
      <c r="A86" s="9">
        <v>85</v>
      </c>
      <c r="B86" s="4"/>
      <c r="C86" s="27"/>
      <c r="D86" s="27"/>
      <c r="E86" s="28" t="s">
        <v>204</v>
      </c>
      <c r="F86" s="28"/>
      <c r="G86" s="28" t="s">
        <v>204</v>
      </c>
      <c r="H86" s="28"/>
      <c r="I86" s="18" t="s">
        <v>205</v>
      </c>
      <c r="J86" s="1">
        <f>VLOOKUP(G86,[1]Sheet1!$G:$K,5,FALSE)</f>
        <v>87</v>
      </c>
      <c r="K86" s="14"/>
    </row>
    <row r="87" ht="17" hidden="1" spans="1:11">
      <c r="A87" s="9">
        <v>86</v>
      </c>
      <c r="B87" s="4"/>
      <c r="C87" s="27" t="s">
        <v>206</v>
      </c>
      <c r="D87" s="50" t="s">
        <v>207</v>
      </c>
      <c r="E87" s="28" t="s">
        <v>208</v>
      </c>
      <c r="F87" s="28"/>
      <c r="G87" s="28" t="s">
        <v>208</v>
      </c>
      <c r="H87" s="28"/>
      <c r="I87" s="18" t="s">
        <v>209</v>
      </c>
      <c r="J87" s="1">
        <f>VLOOKUP(G87,[1]Sheet1!$G:$K,5,FALSE)</f>
        <v>68</v>
      </c>
      <c r="K87" s="14"/>
    </row>
    <row r="88" ht="17" hidden="1" spans="1:11">
      <c r="A88" s="9">
        <v>87</v>
      </c>
      <c r="B88" s="4"/>
      <c r="C88" s="27"/>
      <c r="D88" s="50"/>
      <c r="E88" s="28" t="s">
        <v>210</v>
      </c>
      <c r="F88" s="28"/>
      <c r="G88" s="28" t="s">
        <v>210</v>
      </c>
      <c r="H88" s="28"/>
      <c r="I88" s="18" t="s">
        <v>211</v>
      </c>
      <c r="J88" s="1">
        <f>VLOOKUP(G88,[1]Sheet1!$G:$K,5,FALSE)</f>
        <v>69</v>
      </c>
      <c r="K88" s="14"/>
    </row>
    <row r="89" ht="34" hidden="1" spans="1:11">
      <c r="A89" s="9">
        <v>88</v>
      </c>
      <c r="B89" s="4"/>
      <c r="C89" s="27"/>
      <c r="D89" s="50"/>
      <c r="E89" s="30" t="s">
        <v>212</v>
      </c>
      <c r="F89" s="30"/>
      <c r="G89" s="30" t="s">
        <v>212</v>
      </c>
      <c r="H89" s="30"/>
      <c r="I89" s="13" t="s">
        <v>213</v>
      </c>
      <c r="J89" s="1">
        <f>VLOOKUP(G89,[1]Sheet1!$G:$K,5,FALSE)</f>
        <v>70</v>
      </c>
      <c r="K89" s="14" t="s">
        <v>61</v>
      </c>
    </row>
    <row r="90" ht="17" hidden="1" spans="1:11">
      <c r="A90" s="9">
        <v>89</v>
      </c>
      <c r="B90" s="4"/>
      <c r="C90" s="27"/>
      <c r="D90" s="50"/>
      <c r="E90" s="28" t="s">
        <v>124</v>
      </c>
      <c r="F90" s="28"/>
      <c r="G90" s="28" t="s">
        <v>124</v>
      </c>
      <c r="H90" s="28"/>
      <c r="I90" s="18" t="s">
        <v>214</v>
      </c>
      <c r="J90" s="1">
        <f>VLOOKUP(G90,[1]Sheet1!$G:$K,5,FALSE)</f>
        <v>12</v>
      </c>
      <c r="K90" s="14"/>
    </row>
    <row r="91" ht="17" hidden="1" spans="1:11">
      <c r="A91" s="9">
        <v>90</v>
      </c>
      <c r="B91" s="4"/>
      <c r="C91" s="27"/>
      <c r="D91" s="50"/>
      <c r="E91" s="28" t="s">
        <v>215</v>
      </c>
      <c r="F91" s="28"/>
      <c r="G91" s="28" t="s">
        <v>215</v>
      </c>
      <c r="H91" s="28"/>
      <c r="I91" s="18" t="s">
        <v>216</v>
      </c>
      <c r="J91" s="1">
        <f>VLOOKUP(G91,[1]Sheet1!$G:$K,5,FALSE)</f>
        <v>102</v>
      </c>
      <c r="K91" s="14"/>
    </row>
    <row r="92" ht="34" hidden="1" spans="1:11">
      <c r="A92" s="9">
        <v>91</v>
      </c>
      <c r="B92" s="4"/>
      <c r="C92" s="27"/>
      <c r="D92" s="50"/>
      <c r="E92" s="28" t="s">
        <v>217</v>
      </c>
      <c r="F92" s="28"/>
      <c r="G92" s="28" t="s">
        <v>217</v>
      </c>
      <c r="H92" s="28"/>
      <c r="I92" s="18" t="s">
        <v>218</v>
      </c>
      <c r="J92" s="1">
        <f>VLOOKUP(G92,[1]Sheet1!$G:$K,5,FALSE)</f>
        <v>103</v>
      </c>
      <c r="K92" s="14"/>
    </row>
    <row r="93" ht="17" hidden="1" spans="1:11">
      <c r="A93" s="9">
        <v>92</v>
      </c>
      <c r="B93" s="4"/>
      <c r="C93" s="27"/>
      <c r="D93" s="50"/>
      <c r="E93" s="28" t="s">
        <v>219</v>
      </c>
      <c r="F93" s="28"/>
      <c r="G93" s="28" t="s">
        <v>219</v>
      </c>
      <c r="H93" s="28"/>
      <c r="I93" s="18" t="s">
        <v>220</v>
      </c>
      <c r="J93" s="1">
        <f>VLOOKUP(G93,[1]Sheet1!$G:$K,5,FALSE)</f>
        <v>104</v>
      </c>
      <c r="K93" s="14"/>
    </row>
    <row r="94" ht="17" hidden="1" spans="1:11">
      <c r="A94" s="9">
        <v>93</v>
      </c>
      <c r="B94" s="4"/>
      <c r="C94" s="27"/>
      <c r="D94" s="55"/>
      <c r="E94" s="28" t="s">
        <v>221</v>
      </c>
      <c r="F94" s="28"/>
      <c r="G94" s="28" t="s">
        <v>221</v>
      </c>
      <c r="H94" s="28"/>
      <c r="I94" s="18" t="s">
        <v>222</v>
      </c>
      <c r="J94" s="1">
        <f>VLOOKUP(G94,[1]Sheet1!$G:$K,5,FALSE)</f>
        <v>138</v>
      </c>
      <c r="K94" s="14"/>
    </row>
    <row r="95" ht="34" hidden="1" spans="1:11">
      <c r="A95" s="9">
        <v>94</v>
      </c>
      <c r="B95" s="4"/>
      <c r="C95" s="27"/>
      <c r="D95" s="16" t="s">
        <v>223</v>
      </c>
      <c r="E95" s="28" t="s">
        <v>224</v>
      </c>
      <c r="F95" s="28"/>
      <c r="G95" s="28" t="s">
        <v>224</v>
      </c>
      <c r="H95" s="28"/>
      <c r="I95" s="18" t="s">
        <v>225</v>
      </c>
      <c r="J95" s="1">
        <f>VLOOKUP(G95,[1]Sheet1!$G:$K,5,FALSE)</f>
        <v>75</v>
      </c>
      <c r="K95" s="14"/>
    </row>
    <row r="96" ht="34" hidden="1" spans="1:11">
      <c r="A96" s="9">
        <v>95</v>
      </c>
      <c r="B96" s="4"/>
      <c r="C96" s="27"/>
      <c r="D96" s="16"/>
      <c r="E96" s="30" t="s">
        <v>226</v>
      </c>
      <c r="F96" s="30"/>
      <c r="G96" s="30" t="s">
        <v>226</v>
      </c>
      <c r="H96" s="30"/>
      <c r="I96" s="13" t="s">
        <v>227</v>
      </c>
      <c r="J96" s="1">
        <f>VLOOKUP(G96,[1]Sheet1!$G:$K,5,FALSE)</f>
        <v>76</v>
      </c>
      <c r="K96" s="14" t="s">
        <v>61</v>
      </c>
    </row>
    <row r="97" ht="34" hidden="1" spans="1:11">
      <c r="A97" s="9">
        <v>96</v>
      </c>
      <c r="B97" s="4"/>
      <c r="C97" s="27"/>
      <c r="D97" s="16"/>
      <c r="E97" s="28" t="s">
        <v>228</v>
      </c>
      <c r="F97" s="28"/>
      <c r="G97" s="28" t="s">
        <v>228</v>
      </c>
      <c r="H97" s="28"/>
      <c r="I97" s="18" t="s">
        <v>229</v>
      </c>
      <c r="J97" s="1">
        <f>VLOOKUP(G97,[1]Sheet1!$G:$K,5,FALSE)</f>
        <v>77</v>
      </c>
      <c r="K97" s="14"/>
    </row>
    <row r="98" ht="34" hidden="1" spans="1:11">
      <c r="A98" s="9">
        <v>97</v>
      </c>
      <c r="B98" s="4"/>
      <c r="C98" s="27"/>
      <c r="D98" s="16"/>
      <c r="E98" s="30" t="s">
        <v>230</v>
      </c>
      <c r="F98" s="30"/>
      <c r="G98" s="30" t="s">
        <v>230</v>
      </c>
      <c r="H98" s="30"/>
      <c r="I98" s="13" t="s">
        <v>231</v>
      </c>
      <c r="J98" s="1">
        <f>VLOOKUP(G98,[1]Sheet1!$G:$K,5,FALSE)</f>
        <v>78</v>
      </c>
      <c r="K98" s="14" t="s">
        <v>61</v>
      </c>
    </row>
    <row r="99" ht="34" hidden="1" spans="1:11">
      <c r="A99" s="9">
        <v>98</v>
      </c>
      <c r="B99" s="4"/>
      <c r="C99" s="27"/>
      <c r="D99" s="16"/>
      <c r="E99" s="30" t="s">
        <v>232</v>
      </c>
      <c r="F99" s="30"/>
      <c r="G99" s="30" t="s">
        <v>232</v>
      </c>
      <c r="H99" s="30"/>
      <c r="I99" s="13" t="s">
        <v>233</v>
      </c>
      <c r="J99" s="1">
        <f>VLOOKUP(G99,[1]Sheet1!$G:$K,5,FALSE)</f>
        <v>79</v>
      </c>
      <c r="K99" s="14" t="s">
        <v>61</v>
      </c>
    </row>
    <row r="100" ht="17" hidden="1" spans="1:11">
      <c r="A100" s="9">
        <v>99</v>
      </c>
      <c r="B100" s="4"/>
      <c r="C100" s="27"/>
      <c r="D100" s="17"/>
      <c r="E100" s="28" t="s">
        <v>234</v>
      </c>
      <c r="F100" s="28"/>
      <c r="G100" s="28" t="s">
        <v>234</v>
      </c>
      <c r="H100" s="28"/>
      <c r="I100" s="18" t="s">
        <v>235</v>
      </c>
      <c r="J100" s="1">
        <f>VLOOKUP(G100,[1]Sheet1!$G:$K,5,FALSE)</f>
        <v>67</v>
      </c>
      <c r="K100" s="14"/>
    </row>
    <row r="101" ht="17" hidden="1" spans="1:11">
      <c r="A101" s="9">
        <v>100</v>
      </c>
      <c r="B101" s="56"/>
      <c r="C101" s="27"/>
      <c r="D101" s="27" t="s">
        <v>236</v>
      </c>
      <c r="E101" s="28" t="s">
        <v>237</v>
      </c>
      <c r="F101" s="28"/>
      <c r="G101" s="28" t="s">
        <v>237</v>
      </c>
      <c r="H101" s="28"/>
      <c r="I101" s="18" t="s">
        <v>238</v>
      </c>
      <c r="J101" s="1">
        <f>VLOOKUP(G101,[1]Sheet1!$G:$K,5,FALSE)</f>
        <v>97</v>
      </c>
      <c r="K101" s="14"/>
    </row>
    <row r="102" ht="17" hidden="1" spans="1:11">
      <c r="A102" s="9">
        <v>101</v>
      </c>
      <c r="B102" s="56"/>
      <c r="C102" s="27"/>
      <c r="D102" s="27"/>
      <c r="E102" s="28" t="s">
        <v>239</v>
      </c>
      <c r="F102" s="28"/>
      <c r="G102" s="28" t="s">
        <v>239</v>
      </c>
      <c r="H102" s="28"/>
      <c r="I102" s="18" t="s">
        <v>240</v>
      </c>
      <c r="J102" s="1">
        <f>VLOOKUP(G102,[1]Sheet1!$G:$K,5,FALSE)</f>
        <v>98</v>
      </c>
      <c r="K102" s="14"/>
    </row>
    <row r="103" ht="17" hidden="1" spans="1:11">
      <c r="A103" s="9">
        <v>102</v>
      </c>
      <c r="B103" s="56"/>
      <c r="C103" s="27"/>
      <c r="D103" s="27" t="s">
        <v>241</v>
      </c>
      <c r="E103" s="28" t="s">
        <v>242</v>
      </c>
      <c r="F103" s="28"/>
      <c r="G103" s="28" t="s">
        <v>242</v>
      </c>
      <c r="H103" s="28"/>
      <c r="I103" s="18" t="s">
        <v>243</v>
      </c>
      <c r="J103" s="1">
        <f>VLOOKUP(G103,[1]Sheet1!$G:$K,5,FALSE)</f>
        <v>94</v>
      </c>
      <c r="K103" s="14"/>
    </row>
    <row r="104" ht="17" hidden="1" spans="1:11">
      <c r="A104" s="9">
        <v>103</v>
      </c>
      <c r="B104" s="56"/>
      <c r="C104" s="27"/>
      <c r="D104" s="27"/>
      <c r="E104" s="28" t="s">
        <v>244</v>
      </c>
      <c r="F104" s="28"/>
      <c r="G104" s="28" t="s">
        <v>244</v>
      </c>
      <c r="H104" s="28"/>
      <c r="I104" s="18" t="s">
        <v>245</v>
      </c>
      <c r="J104" s="1">
        <f>VLOOKUP(G104,[1]Sheet1!$G:$K,5,FALSE)</f>
        <v>95</v>
      </c>
      <c r="K104" s="14"/>
    </row>
    <row r="105" ht="34" spans="1:11">
      <c r="A105" s="9">
        <v>104</v>
      </c>
      <c r="B105" s="56"/>
      <c r="C105" s="27"/>
      <c r="D105" s="27" t="s">
        <v>246</v>
      </c>
      <c r="E105" s="22" t="s">
        <v>247</v>
      </c>
      <c r="F105" s="22"/>
      <c r="G105" s="22" t="s">
        <v>247</v>
      </c>
      <c r="H105" s="22"/>
      <c r="I105" s="23" t="s">
        <v>248</v>
      </c>
      <c r="J105" s="1">
        <f>VLOOKUP(G105,[1]Sheet1!$G:$K,5,FALSE)</f>
        <v>141</v>
      </c>
      <c r="K105" s="14" t="s">
        <v>31</v>
      </c>
    </row>
    <row r="106" ht="17" spans="1:11">
      <c r="A106" s="9">
        <v>105</v>
      </c>
      <c r="B106" s="56"/>
      <c r="C106" s="27"/>
      <c r="D106" s="27"/>
      <c r="E106" s="22" t="s">
        <v>249</v>
      </c>
      <c r="F106" s="22"/>
      <c r="G106" s="22" t="s">
        <v>249</v>
      </c>
      <c r="H106" s="22"/>
      <c r="I106" s="23" t="s">
        <v>250</v>
      </c>
      <c r="J106" s="1">
        <f>VLOOKUP(G106,[1]Sheet1!$G:$K,5,FALSE)</f>
        <v>99</v>
      </c>
      <c r="K106" s="14" t="s">
        <v>31</v>
      </c>
    </row>
    <row r="107" ht="17" spans="1:11">
      <c r="A107" s="9">
        <v>106</v>
      </c>
      <c r="B107" s="56"/>
      <c r="C107" s="27"/>
      <c r="D107" s="27"/>
      <c r="E107" s="22" t="s">
        <v>251</v>
      </c>
      <c r="F107" s="22"/>
      <c r="G107" s="22" t="s">
        <v>251</v>
      </c>
      <c r="H107" s="22"/>
      <c r="I107" s="23" t="s">
        <v>252</v>
      </c>
      <c r="J107" s="1">
        <f>VLOOKUP(G107,[1]Sheet1!$G:$K,5,FALSE)</f>
        <v>100</v>
      </c>
      <c r="K107" s="14" t="s">
        <v>31</v>
      </c>
    </row>
    <row r="108" ht="34" spans="1:11">
      <c r="A108" s="9">
        <v>107</v>
      </c>
      <c r="B108" s="56"/>
      <c r="C108" s="27"/>
      <c r="D108" s="27"/>
      <c r="E108" s="22" t="s">
        <v>253</v>
      </c>
      <c r="F108" s="22"/>
      <c r="G108" s="22" t="s">
        <v>253</v>
      </c>
      <c r="H108" s="22"/>
      <c r="I108" s="23" t="s">
        <v>254</v>
      </c>
      <c r="J108" s="1">
        <f>VLOOKUP(G108,[1]Sheet1!$G:$K,5,FALSE)</f>
        <v>142</v>
      </c>
      <c r="K108" s="14" t="s">
        <v>31</v>
      </c>
    </row>
    <row r="109" ht="34" hidden="1" spans="1:11">
      <c r="A109" s="9">
        <v>108</v>
      </c>
      <c r="B109" s="56"/>
      <c r="C109" s="27"/>
      <c r="D109" s="27" t="s">
        <v>255</v>
      </c>
      <c r="E109" s="28" t="s">
        <v>256</v>
      </c>
      <c r="F109" s="28"/>
      <c r="G109" s="28" t="s">
        <v>256</v>
      </c>
      <c r="H109" s="28"/>
      <c r="I109" s="18" t="s">
        <v>257</v>
      </c>
      <c r="J109" s="1">
        <f>VLOOKUP(G109,[1]Sheet1!$G:$K,5,FALSE)</f>
        <v>105</v>
      </c>
      <c r="K109" s="14"/>
    </row>
    <row r="110" ht="34" hidden="1" spans="1:11">
      <c r="A110" s="9">
        <v>109</v>
      </c>
      <c r="B110" s="56"/>
      <c r="C110" s="27"/>
      <c r="D110" s="27"/>
      <c r="E110" s="28" t="s">
        <v>258</v>
      </c>
      <c r="F110" s="28"/>
      <c r="G110" s="28" t="s">
        <v>258</v>
      </c>
      <c r="H110" s="28"/>
      <c r="I110" s="18" t="s">
        <v>259</v>
      </c>
      <c r="J110" s="1">
        <f>VLOOKUP(G110,[1]Sheet1!$G:$K,5,FALSE)</f>
        <v>140</v>
      </c>
      <c r="K110" s="14"/>
    </row>
    <row r="111" ht="34" hidden="1" spans="1:11">
      <c r="A111" s="9">
        <v>110</v>
      </c>
      <c r="B111" s="56"/>
      <c r="C111" s="27"/>
      <c r="D111" s="27"/>
      <c r="E111" s="30" t="s">
        <v>260</v>
      </c>
      <c r="F111" s="30"/>
      <c r="G111" s="30" t="s">
        <v>260</v>
      </c>
      <c r="H111" s="30"/>
      <c r="I111" s="13" t="s">
        <v>261</v>
      </c>
      <c r="J111" s="1">
        <f>VLOOKUP(G111,[1]Sheet1!$G:$K,5,FALSE)</f>
        <v>106</v>
      </c>
      <c r="K111" s="14" t="s">
        <v>13</v>
      </c>
    </row>
    <row r="112" ht="34" hidden="1" spans="1:11">
      <c r="A112" s="9">
        <v>111</v>
      </c>
      <c r="B112" s="56"/>
      <c r="C112" s="27"/>
      <c r="D112" s="27"/>
      <c r="E112" s="30" t="s">
        <v>262</v>
      </c>
      <c r="F112" s="30"/>
      <c r="G112" s="30" t="s">
        <v>262</v>
      </c>
      <c r="H112" s="30"/>
      <c r="I112" s="13" t="s">
        <v>263</v>
      </c>
      <c r="J112" s="1">
        <f>VLOOKUP(G112,[1]Sheet1!$G:$K,5,FALSE)</f>
        <v>107</v>
      </c>
      <c r="K112" s="14" t="s">
        <v>13</v>
      </c>
    </row>
    <row r="113" ht="34" hidden="1" spans="1:11">
      <c r="A113" s="9">
        <v>112</v>
      </c>
      <c r="B113" s="56"/>
      <c r="C113" s="27"/>
      <c r="D113" s="27"/>
      <c r="E113" s="30" t="s">
        <v>264</v>
      </c>
      <c r="F113" s="30"/>
      <c r="G113" s="30" t="s">
        <v>264</v>
      </c>
      <c r="H113" s="30"/>
      <c r="I113" s="13" t="s">
        <v>265</v>
      </c>
      <c r="J113" s="1">
        <f>VLOOKUP(G113,[1]Sheet1!$G:$K,5,FALSE)</f>
        <v>145</v>
      </c>
      <c r="K113" s="14" t="s">
        <v>13</v>
      </c>
    </row>
    <row r="114" ht="17" hidden="1" spans="1:11">
      <c r="A114" s="9">
        <v>113</v>
      </c>
      <c r="B114" s="56"/>
      <c r="C114" s="27"/>
      <c r="D114" s="27"/>
      <c r="E114" s="30" t="s">
        <v>266</v>
      </c>
      <c r="F114" s="30"/>
      <c r="G114" s="30" t="s">
        <v>266</v>
      </c>
      <c r="H114" s="30"/>
      <c r="I114" s="13" t="s">
        <v>267</v>
      </c>
      <c r="J114" s="1">
        <f>VLOOKUP(G114,[1]Sheet1!$G:$K,5,FALSE)</f>
        <v>108</v>
      </c>
      <c r="K114" s="14" t="s">
        <v>13</v>
      </c>
    </row>
    <row r="115" ht="34" hidden="1" spans="1:11">
      <c r="A115" s="9">
        <v>114</v>
      </c>
      <c r="B115" s="56"/>
      <c r="C115" s="27"/>
      <c r="D115" s="27"/>
      <c r="E115" s="28" t="s">
        <v>268</v>
      </c>
      <c r="F115" s="28"/>
      <c r="G115" s="28" t="s">
        <v>268</v>
      </c>
      <c r="H115" s="28"/>
      <c r="I115" s="18" t="s">
        <v>269</v>
      </c>
      <c r="J115" s="1">
        <f>VLOOKUP(G115,[1]Sheet1!$G:$K,5,FALSE)</f>
        <v>109</v>
      </c>
      <c r="K115" s="14"/>
    </row>
    <row r="116" ht="34" hidden="1" spans="1:11">
      <c r="A116" s="9">
        <v>115</v>
      </c>
      <c r="B116" s="56"/>
      <c r="C116" s="27"/>
      <c r="D116" s="27"/>
      <c r="E116" s="30" t="s">
        <v>270</v>
      </c>
      <c r="F116" s="30"/>
      <c r="G116" s="30" t="s">
        <v>270</v>
      </c>
      <c r="H116" s="30"/>
      <c r="I116" s="13" t="s">
        <v>271</v>
      </c>
      <c r="J116" s="1">
        <f>VLOOKUP(G116,[1]Sheet1!$G:$K,5,FALSE)</f>
        <v>110</v>
      </c>
      <c r="K116" s="14" t="s">
        <v>13</v>
      </c>
    </row>
    <row r="117" ht="34" hidden="1" spans="1:11">
      <c r="A117" s="9">
        <v>116</v>
      </c>
      <c r="B117" s="56"/>
      <c r="C117" s="27"/>
      <c r="D117" s="27"/>
      <c r="E117" s="30" t="s">
        <v>272</v>
      </c>
      <c r="F117" s="30"/>
      <c r="G117" s="30" t="s">
        <v>272</v>
      </c>
      <c r="H117" s="30"/>
      <c r="I117" s="13" t="s">
        <v>273</v>
      </c>
      <c r="J117" s="1">
        <f>VLOOKUP(G117,[1]Sheet1!$G:$K,5,FALSE)</f>
        <v>111</v>
      </c>
      <c r="K117" s="14" t="s">
        <v>13</v>
      </c>
    </row>
    <row r="118" ht="34" hidden="1" spans="1:11">
      <c r="A118" s="9">
        <v>117</v>
      </c>
      <c r="B118" s="56"/>
      <c r="C118" s="27"/>
      <c r="D118" s="27"/>
      <c r="E118" s="30" t="s">
        <v>274</v>
      </c>
      <c r="F118" s="30"/>
      <c r="G118" s="30" t="s">
        <v>274</v>
      </c>
      <c r="H118" s="30"/>
      <c r="I118" s="13" t="s">
        <v>275</v>
      </c>
      <c r="J118" s="1">
        <f>VLOOKUP(G118,[1]Sheet1!$G:$K,5,FALSE)</f>
        <v>112</v>
      </c>
      <c r="K118" s="14" t="s">
        <v>13</v>
      </c>
    </row>
    <row r="119" ht="34" hidden="1" spans="1:11">
      <c r="A119" s="9">
        <v>118</v>
      </c>
      <c r="B119" s="56"/>
      <c r="C119" s="27"/>
      <c r="D119" s="27"/>
      <c r="E119" s="28" t="s">
        <v>276</v>
      </c>
      <c r="F119" s="28"/>
      <c r="G119" s="28" t="s">
        <v>276</v>
      </c>
      <c r="H119" s="28"/>
      <c r="I119" s="18" t="s">
        <v>277</v>
      </c>
      <c r="J119" s="1">
        <f>VLOOKUP(G119,[1]Sheet1!$G:$K,5,FALSE)</f>
        <v>113</v>
      </c>
      <c r="K119" s="14"/>
    </row>
    <row r="120" ht="17" hidden="1" spans="1:11">
      <c r="A120" s="9">
        <v>119</v>
      </c>
      <c r="B120" s="56"/>
      <c r="C120" s="27"/>
      <c r="D120" s="27"/>
      <c r="E120" s="28" t="s">
        <v>278</v>
      </c>
      <c r="F120" s="28"/>
      <c r="G120" s="28" t="s">
        <v>278</v>
      </c>
      <c r="H120" s="28"/>
      <c r="I120" s="18" t="s">
        <v>279</v>
      </c>
      <c r="J120" s="1">
        <f>VLOOKUP(G120,[1]Sheet1!$G:$K,5,FALSE)</f>
        <v>114</v>
      </c>
      <c r="K120" s="14"/>
    </row>
    <row r="121" ht="17" hidden="1" spans="1:11">
      <c r="A121" s="9">
        <v>120</v>
      </c>
      <c r="B121" s="56"/>
      <c r="C121" s="27"/>
      <c r="D121" s="27"/>
      <c r="E121" s="28" t="s">
        <v>280</v>
      </c>
      <c r="F121" s="28"/>
      <c r="G121" s="28" t="s">
        <v>280</v>
      </c>
      <c r="H121" s="28"/>
      <c r="I121" s="18" t="s">
        <v>281</v>
      </c>
      <c r="J121" s="1">
        <f>VLOOKUP(G121,[1]Sheet1!$G:$K,5,FALSE)</f>
        <v>115</v>
      </c>
      <c r="K121" s="14"/>
    </row>
    <row r="122" ht="17" hidden="1" spans="1:11">
      <c r="A122" s="9">
        <v>121</v>
      </c>
      <c r="B122" s="56"/>
      <c r="C122" s="27"/>
      <c r="D122" s="27"/>
      <c r="E122" s="28" t="s">
        <v>282</v>
      </c>
      <c r="F122" s="28"/>
      <c r="G122" s="28" t="s">
        <v>282</v>
      </c>
      <c r="H122" s="28"/>
      <c r="I122" s="18" t="s">
        <v>283</v>
      </c>
      <c r="J122" s="1">
        <f>VLOOKUP(G122,[1]Sheet1!$G:$K,5,FALSE)</f>
        <v>116</v>
      </c>
      <c r="K122" s="14"/>
    </row>
    <row r="123" ht="17" hidden="1" spans="1:11">
      <c r="A123" s="9">
        <v>122</v>
      </c>
      <c r="B123" s="56"/>
      <c r="C123" s="27"/>
      <c r="D123" s="27"/>
      <c r="E123" s="28" t="s">
        <v>284</v>
      </c>
      <c r="F123" s="28"/>
      <c r="G123" s="28" t="s">
        <v>284</v>
      </c>
      <c r="H123" s="28"/>
      <c r="I123" s="18" t="s">
        <v>285</v>
      </c>
      <c r="J123" s="1">
        <f>VLOOKUP(G123,[1]Sheet1!$G:$K,5,FALSE)</f>
        <v>117</v>
      </c>
      <c r="K123" s="14"/>
    </row>
    <row r="124" ht="17" hidden="1" spans="1:11">
      <c r="A124" s="9">
        <v>123</v>
      </c>
      <c r="B124" s="56"/>
      <c r="C124" s="27"/>
      <c r="D124" s="27"/>
      <c r="E124" s="28" t="s">
        <v>286</v>
      </c>
      <c r="F124" s="28"/>
      <c r="G124" s="28" t="s">
        <v>286</v>
      </c>
      <c r="H124" s="28"/>
      <c r="I124" s="18" t="s">
        <v>287</v>
      </c>
      <c r="J124" s="1">
        <f>VLOOKUP(G124,[1]Sheet1!$G:$K,5,FALSE)</f>
        <v>118</v>
      </c>
      <c r="K124" s="14"/>
    </row>
    <row r="125" ht="17" hidden="1" spans="1:11">
      <c r="A125" s="9">
        <v>124</v>
      </c>
      <c r="B125" s="56"/>
      <c r="C125" s="27"/>
      <c r="D125" s="27"/>
      <c r="E125" s="30" t="s">
        <v>288</v>
      </c>
      <c r="F125" s="30"/>
      <c r="G125" s="30" t="s">
        <v>288</v>
      </c>
      <c r="H125" s="30"/>
      <c r="I125" s="13" t="s">
        <v>289</v>
      </c>
      <c r="J125" s="1">
        <f>VLOOKUP(G125,[1]Sheet1!$G:$K,5,FALSE)</f>
        <v>119</v>
      </c>
      <c r="K125" s="14" t="s">
        <v>13</v>
      </c>
    </row>
    <row r="126" ht="17" hidden="1" spans="1:11">
      <c r="A126" s="9">
        <v>125</v>
      </c>
      <c r="B126" s="56"/>
      <c r="C126" s="27"/>
      <c r="D126" s="27"/>
      <c r="E126" s="30" t="s">
        <v>290</v>
      </c>
      <c r="F126" s="30"/>
      <c r="G126" s="30" t="s">
        <v>290</v>
      </c>
      <c r="H126" s="30"/>
      <c r="I126" s="13" t="s">
        <v>291</v>
      </c>
      <c r="J126" s="1">
        <f>VLOOKUP(G126,[1]Sheet1!$G:$K,5,FALSE)</f>
        <v>120</v>
      </c>
      <c r="K126" s="14" t="s">
        <v>13</v>
      </c>
    </row>
    <row r="127" ht="17" hidden="1" spans="1:11">
      <c r="A127" s="9">
        <v>126</v>
      </c>
      <c r="B127" s="56"/>
      <c r="C127" s="27"/>
      <c r="D127" s="27"/>
      <c r="E127" s="28" t="s">
        <v>292</v>
      </c>
      <c r="F127" s="28"/>
      <c r="G127" s="28" t="s">
        <v>292</v>
      </c>
      <c r="H127" s="28"/>
      <c r="I127" s="18" t="s">
        <v>293</v>
      </c>
      <c r="J127" s="1">
        <f>VLOOKUP(G127,[1]Sheet1!$G:$K,5,FALSE)</f>
        <v>121</v>
      </c>
      <c r="K127" s="14"/>
    </row>
    <row r="128" ht="17" hidden="1" spans="1:11">
      <c r="A128" s="9">
        <v>127</v>
      </c>
      <c r="B128" s="56"/>
      <c r="C128" s="27"/>
      <c r="D128" s="27"/>
      <c r="E128" s="28" t="s">
        <v>294</v>
      </c>
      <c r="F128" s="28"/>
      <c r="G128" s="28" t="s">
        <v>294</v>
      </c>
      <c r="H128" s="28"/>
      <c r="I128" s="18" t="s">
        <v>295</v>
      </c>
      <c r="J128" s="1">
        <f>VLOOKUP(G128,[1]Sheet1!$G:$K,5,FALSE)</f>
        <v>122</v>
      </c>
      <c r="K128" s="14"/>
    </row>
    <row r="129" ht="17" hidden="1" spans="1:11">
      <c r="A129" s="9">
        <v>128</v>
      </c>
      <c r="B129" s="56"/>
      <c r="C129" s="27"/>
      <c r="D129" s="27"/>
      <c r="E129" s="28" t="s">
        <v>296</v>
      </c>
      <c r="F129" s="28"/>
      <c r="G129" s="28" t="s">
        <v>296</v>
      </c>
      <c r="H129" s="28"/>
      <c r="I129" s="18" t="s">
        <v>297</v>
      </c>
      <c r="J129" s="1">
        <f>VLOOKUP(G129,[1]Sheet1!$G:$K,5,FALSE)</f>
        <v>123</v>
      </c>
      <c r="K129" s="14"/>
    </row>
    <row r="130" ht="17" hidden="1" spans="1:11">
      <c r="A130" s="9">
        <v>129</v>
      </c>
      <c r="B130" s="56"/>
      <c r="C130" s="27"/>
      <c r="D130" s="27"/>
      <c r="E130" s="28" t="s">
        <v>298</v>
      </c>
      <c r="F130" s="28"/>
      <c r="G130" s="28" t="s">
        <v>298</v>
      </c>
      <c r="H130" s="28"/>
      <c r="I130" s="18" t="s">
        <v>299</v>
      </c>
      <c r="J130" s="1">
        <f>VLOOKUP(G130,[1]Sheet1!$G:$K,5,FALSE)</f>
        <v>124</v>
      </c>
      <c r="K130" s="14"/>
    </row>
    <row r="131" ht="34" hidden="1" spans="1:11">
      <c r="A131" s="9">
        <v>130</v>
      </c>
      <c r="B131" s="56"/>
      <c r="C131" s="27"/>
      <c r="D131" s="27"/>
      <c r="E131" s="28" t="s">
        <v>300</v>
      </c>
      <c r="F131" s="28"/>
      <c r="G131" s="28" t="s">
        <v>300</v>
      </c>
      <c r="H131" s="28"/>
      <c r="I131" s="18" t="s">
        <v>301</v>
      </c>
      <c r="J131" s="1">
        <f>VLOOKUP(G131,[1]Sheet1!$G:$K,5,FALSE)</f>
        <v>125</v>
      </c>
      <c r="K131" s="14"/>
    </row>
    <row r="132" ht="17" hidden="1" spans="1:11">
      <c r="A132" s="9">
        <v>131</v>
      </c>
      <c r="B132" s="56"/>
      <c r="C132" s="27"/>
      <c r="D132" s="27"/>
      <c r="E132" s="28" t="s">
        <v>302</v>
      </c>
      <c r="F132" s="28"/>
      <c r="G132" s="28" t="s">
        <v>302</v>
      </c>
      <c r="H132" s="28"/>
      <c r="I132" s="18" t="s">
        <v>303</v>
      </c>
      <c r="J132" s="1">
        <f>VLOOKUP(G132,[1]Sheet1!$G:$K,5,FALSE)</f>
        <v>126</v>
      </c>
      <c r="K132" s="14"/>
    </row>
    <row r="133" ht="17" hidden="1" spans="1:11">
      <c r="A133" s="9">
        <v>132</v>
      </c>
      <c r="B133" s="56"/>
      <c r="C133" s="27"/>
      <c r="D133" s="27"/>
      <c r="E133" s="28" t="s">
        <v>304</v>
      </c>
      <c r="F133" s="28"/>
      <c r="G133" s="28" t="s">
        <v>304</v>
      </c>
      <c r="H133" s="28"/>
      <c r="I133" s="18" t="s">
        <v>305</v>
      </c>
      <c r="J133" s="1">
        <f>VLOOKUP(G133,[1]Sheet1!$G:$K,5,FALSE)</f>
        <v>128</v>
      </c>
      <c r="K133" s="14"/>
    </row>
    <row r="134" ht="34" hidden="1" spans="1:11">
      <c r="A134" s="9">
        <v>133</v>
      </c>
      <c r="B134" s="56"/>
      <c r="C134" s="27"/>
      <c r="D134" s="27"/>
      <c r="E134" s="30" t="s">
        <v>306</v>
      </c>
      <c r="F134" s="30"/>
      <c r="G134" s="30" t="s">
        <v>306</v>
      </c>
      <c r="H134" s="30"/>
      <c r="I134" s="13" t="s">
        <v>307</v>
      </c>
      <c r="J134" s="1">
        <f>VLOOKUP(G134,[1]Sheet1!$G:$K,5,FALSE)</f>
        <v>129</v>
      </c>
      <c r="K134" s="14" t="s">
        <v>13</v>
      </c>
    </row>
    <row r="135" ht="34" hidden="1" spans="1:11">
      <c r="A135" s="9">
        <v>134</v>
      </c>
      <c r="B135" s="56"/>
      <c r="C135" s="27"/>
      <c r="D135" s="27"/>
      <c r="E135" s="28" t="s">
        <v>308</v>
      </c>
      <c r="F135" s="28"/>
      <c r="G135" s="28" t="s">
        <v>308</v>
      </c>
      <c r="H135" s="28"/>
      <c r="I135" s="18" t="s">
        <v>309</v>
      </c>
      <c r="J135" s="1">
        <f>VLOOKUP(G135,[1]Sheet1!$G:$K,5,FALSE)</f>
        <v>130</v>
      </c>
      <c r="K135" s="14"/>
    </row>
    <row r="136" ht="34" hidden="1" spans="1:11">
      <c r="A136" s="9">
        <v>135</v>
      </c>
      <c r="B136" s="56"/>
      <c r="C136" s="27"/>
      <c r="D136" s="27"/>
      <c r="E136" s="28" t="s">
        <v>310</v>
      </c>
      <c r="F136" s="28"/>
      <c r="G136" s="28" t="s">
        <v>310</v>
      </c>
      <c r="H136" s="28"/>
      <c r="I136" s="18" t="s">
        <v>311</v>
      </c>
      <c r="J136" s="1">
        <f>VLOOKUP(G136,[1]Sheet1!$G:$K,5,FALSE)</f>
        <v>131</v>
      </c>
      <c r="K136" s="14"/>
    </row>
    <row r="137" ht="17" hidden="1" spans="1:11">
      <c r="A137" s="9">
        <v>136</v>
      </c>
      <c r="B137" s="56"/>
      <c r="C137" s="27"/>
      <c r="D137" s="27"/>
      <c r="E137" s="28" t="s">
        <v>312</v>
      </c>
      <c r="F137" s="28"/>
      <c r="G137" s="28" t="s">
        <v>312</v>
      </c>
      <c r="H137" s="28"/>
      <c r="I137" s="18" t="s">
        <v>313</v>
      </c>
      <c r="J137" s="1">
        <f>VLOOKUP(G137,[1]Sheet1!$G:$K,5,FALSE)</f>
        <v>132</v>
      </c>
      <c r="K137" s="14"/>
    </row>
    <row r="138" ht="17" hidden="1" spans="1:11">
      <c r="A138" s="9">
        <v>137</v>
      </c>
      <c r="B138" s="56"/>
      <c r="C138" s="27"/>
      <c r="D138" s="27"/>
      <c r="E138" s="28" t="s">
        <v>314</v>
      </c>
      <c r="F138" s="28"/>
      <c r="G138" s="28" t="s">
        <v>314</v>
      </c>
      <c r="H138" s="28"/>
      <c r="I138" s="18" t="s">
        <v>315</v>
      </c>
      <c r="J138" s="1">
        <f>VLOOKUP(G138,[1]Sheet1!$G:$K,5,FALSE)</f>
        <v>133</v>
      </c>
      <c r="K138" s="14"/>
    </row>
    <row r="139" ht="17" hidden="1" spans="1:11">
      <c r="A139" s="9">
        <v>138</v>
      </c>
      <c r="B139" s="56"/>
      <c r="C139" s="27"/>
      <c r="D139" s="27"/>
      <c r="E139" s="28" t="s">
        <v>316</v>
      </c>
      <c r="F139" s="28"/>
      <c r="G139" s="28" t="s">
        <v>316</v>
      </c>
      <c r="H139" s="28"/>
      <c r="I139" s="18" t="s">
        <v>317</v>
      </c>
      <c r="J139" s="1">
        <f>VLOOKUP(G139,[1]Sheet1!$G:$K,5,FALSE)</f>
        <v>134</v>
      </c>
      <c r="K139" s="14"/>
    </row>
    <row r="140" ht="17" hidden="1" spans="1:11">
      <c r="A140" s="9">
        <v>139</v>
      </c>
      <c r="B140" s="56"/>
      <c r="C140" s="27"/>
      <c r="D140" s="27"/>
      <c r="E140" s="28" t="s">
        <v>318</v>
      </c>
      <c r="F140" s="28"/>
      <c r="G140" s="28" t="s">
        <v>318</v>
      </c>
      <c r="H140" s="28"/>
      <c r="I140" s="18" t="s">
        <v>319</v>
      </c>
      <c r="J140" s="1">
        <f>VLOOKUP(G140,[1]Sheet1!$G:$K,5,FALSE)</f>
        <v>135</v>
      </c>
      <c r="K140" s="14"/>
    </row>
    <row r="141" ht="17" hidden="1" spans="1:11">
      <c r="A141" s="9">
        <v>140</v>
      </c>
      <c r="B141" s="56"/>
      <c r="C141" s="27"/>
      <c r="D141" s="27"/>
      <c r="E141" s="30" t="s">
        <v>320</v>
      </c>
      <c r="F141" s="30"/>
      <c r="G141" s="30" t="s">
        <v>320</v>
      </c>
      <c r="H141" s="30"/>
      <c r="I141" s="13" t="s">
        <v>321</v>
      </c>
      <c r="J141" s="1">
        <f>VLOOKUP(G141,[1]Sheet1!$G:$K,5,FALSE)</f>
        <v>136</v>
      </c>
      <c r="K141" s="14" t="s">
        <v>13</v>
      </c>
    </row>
    <row r="142" ht="14" hidden="1" customHeight="1" spans="1:11">
      <c r="A142" s="9">
        <v>141</v>
      </c>
      <c r="B142" s="56"/>
      <c r="C142" s="27"/>
      <c r="D142" s="27"/>
      <c r="E142" s="30" t="s">
        <v>322</v>
      </c>
      <c r="F142" s="30"/>
      <c r="G142" s="30" t="s">
        <v>322</v>
      </c>
      <c r="H142" s="30"/>
      <c r="I142" s="13" t="s">
        <v>323</v>
      </c>
      <c r="J142" s="1">
        <f>VLOOKUP(G142,[1]Sheet1!$G:$K,5,FALSE)</f>
        <v>137</v>
      </c>
      <c r="K142" s="14" t="s">
        <v>13</v>
      </c>
    </row>
    <row r="143" ht="17.6" hidden="1" spans="1:11">
      <c r="A143" s="9">
        <v>142</v>
      </c>
      <c r="B143" s="56"/>
      <c r="C143" s="27"/>
      <c r="D143" s="27" t="s">
        <v>324</v>
      </c>
      <c r="E143" s="28" t="s">
        <v>325</v>
      </c>
      <c r="F143" s="28"/>
      <c r="G143" s="28" t="s">
        <v>325</v>
      </c>
      <c r="H143" s="28"/>
      <c r="I143" s="18" t="s">
        <v>326</v>
      </c>
      <c r="J143" s="1">
        <f>VLOOKUP(G143,[1]Sheet1!$G:$K,5,FALSE)</f>
        <v>96</v>
      </c>
      <c r="K143" s="14"/>
    </row>
    <row r="144" ht="17" hidden="1" spans="1:11">
      <c r="A144" s="9">
        <v>143</v>
      </c>
      <c r="B144" s="56"/>
      <c r="C144" s="27"/>
      <c r="D144" s="57" t="s">
        <v>327</v>
      </c>
      <c r="E144" s="22" t="s">
        <v>328</v>
      </c>
      <c r="F144" s="22"/>
      <c r="G144" s="22" t="s">
        <v>328</v>
      </c>
      <c r="H144" s="22" t="s">
        <v>329</v>
      </c>
      <c r="I144" s="23" t="s">
        <v>330</v>
      </c>
      <c r="J144" s="1">
        <f>VLOOKUP(G144,[1]Sheet1!$G:$K,5,FALSE)</f>
        <v>143</v>
      </c>
      <c r="K144" s="14" t="s">
        <v>61</v>
      </c>
    </row>
    <row r="145" ht="17" spans="1:11">
      <c r="A145" s="9">
        <v>144</v>
      </c>
      <c r="B145" s="56"/>
      <c r="C145" s="27"/>
      <c r="D145" s="57"/>
      <c r="E145" s="22" t="s">
        <v>331</v>
      </c>
      <c r="F145" s="22"/>
      <c r="G145" s="22" t="s">
        <v>331</v>
      </c>
      <c r="H145" s="22" t="s">
        <v>332</v>
      </c>
      <c r="I145" s="23" t="s">
        <v>333</v>
      </c>
      <c r="J145" s="1">
        <f>VLOOKUP(G145,[1]Sheet1!$G:$K,5,FALSE)</f>
        <v>144</v>
      </c>
      <c r="K145" s="14" t="s">
        <v>31</v>
      </c>
    </row>
    <row r="146" ht="34" hidden="1" spans="1:11">
      <c r="A146" s="9">
        <v>145</v>
      </c>
      <c r="C146" s="27"/>
      <c r="D146" s="9" t="s">
        <v>334</v>
      </c>
      <c r="E146" s="22" t="s">
        <v>335</v>
      </c>
      <c r="F146" s="22"/>
      <c r="G146" s="22" t="s">
        <v>335</v>
      </c>
      <c r="H146" s="22"/>
      <c r="I146" s="23" t="s">
        <v>336</v>
      </c>
      <c r="J146" s="1">
        <f>VLOOKUP(G146,[1]Sheet1!$G:$K,5,FALSE)</f>
        <v>139</v>
      </c>
      <c r="K146" s="14" t="s">
        <v>61</v>
      </c>
    </row>
  </sheetData>
  <autoFilter xmlns:etc="http://www.wps.cn/officeDocument/2017/etCustomData" ref="A1:K146" etc:filterBottomFollowUsedRange="0">
    <filterColumn colId="10">
      <filters>
        <filter val="一期"/>
      </filters>
    </filterColumn>
    <extLst/>
  </autoFilter>
  <mergeCells count="173">
    <mergeCell ref="E1:F1"/>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6:F46"/>
    <mergeCell ref="E47:F47"/>
    <mergeCell ref="E48:F48"/>
    <mergeCell ref="E49:F49"/>
    <mergeCell ref="E50:F50"/>
    <mergeCell ref="E51:F51"/>
    <mergeCell ref="E52:F52"/>
    <mergeCell ref="E53:F53"/>
    <mergeCell ref="E54:F54"/>
    <mergeCell ref="E55:F55"/>
    <mergeCell ref="E56:F56"/>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B2:B145"/>
    <mergeCell ref="C2:C20"/>
    <mergeCell ref="C21:C74"/>
    <mergeCell ref="C75:C86"/>
    <mergeCell ref="C87:C100"/>
    <mergeCell ref="C101:C146"/>
    <mergeCell ref="D2:D6"/>
    <mergeCell ref="D7:D8"/>
    <mergeCell ref="D9:D12"/>
    <mergeCell ref="D13:D15"/>
    <mergeCell ref="D16:D20"/>
    <mergeCell ref="D21:D32"/>
    <mergeCell ref="D33:D36"/>
    <mergeCell ref="D37:D56"/>
    <mergeCell ref="D60:D66"/>
    <mergeCell ref="D68:D74"/>
    <mergeCell ref="D75:D76"/>
    <mergeCell ref="D78:D83"/>
    <mergeCell ref="D84:D86"/>
    <mergeCell ref="D87:D94"/>
    <mergeCell ref="D95:D100"/>
    <mergeCell ref="D101:D102"/>
    <mergeCell ref="D103:D104"/>
    <mergeCell ref="D105:D108"/>
    <mergeCell ref="D109:D142"/>
    <mergeCell ref="D144:D145"/>
    <mergeCell ref="G57:G58"/>
    <mergeCell ref="I57:I58"/>
    <mergeCell ref="J57:J58"/>
    <mergeCell ref="E44:F45"/>
    <mergeCell ref="E57:F5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wjg</cp:lastModifiedBy>
  <dcterms:created xsi:type="dcterms:W3CDTF">2025-10-31T02:42:00Z</dcterms:created>
  <dcterms:modified xsi:type="dcterms:W3CDTF">2026-02-06T16:35:32Z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14467B4B832271207B747C69F6FE252C_43</vt:lpwstr>
  </property>
  <property fmtid="{D5CDD505-2E9C-101B-9397-08002B2CF9AE}" pid="3" name="KSOProductBuildVer">
    <vt:lpwstr>2052-12.1.24031.24031</vt:lpwstr>
  </property>
  <property fmtid="{D5CDD505-2E9C-101B-9397-08002B2CF9AE}" pid="4" name="CalculationRule">
    <vt:i4>0</vt:i4>
  </property>
</Properties>
</file>